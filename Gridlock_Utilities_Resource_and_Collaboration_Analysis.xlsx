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fabienne/Downloads/"/>
    </mc:Choice>
  </mc:AlternateContent>
  <xr:revisionPtr revIDLastSave="0" documentId="8_{26B84AC9-226E-0045-8B34-D8D7BB50EBAE}" xr6:coauthVersionLast="47" xr6:coauthVersionMax="47" xr10:uidLastSave="{00000000-0000-0000-0000-000000000000}"/>
  <bookViews>
    <workbookView xWindow="0" yWindow="600" windowWidth="12820" windowHeight="15200" xr2:uid="{00000000-000D-0000-FFFF-FFFF00000000}"/>
  </bookViews>
  <sheets>
    <sheet name="Gridlock_Utilities_Resource_and" sheetId="1" r:id="rId1"/>
    <sheet name="Utility B Resources" sheetId="2" r:id="rId2"/>
    <sheet name="Notes" sheetId="3" r:id="rId3"/>
    <sheet name="Collaboration Saving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4" l="1"/>
  <c r="AA8" i="4"/>
  <c r="Z8" i="4"/>
  <c r="AE8" i="4" s="1"/>
  <c r="Y8" i="4"/>
  <c r="X8" i="4"/>
  <c r="W8" i="4"/>
  <c r="V8" i="4"/>
  <c r="U8" i="4"/>
  <c r="T8" i="4"/>
  <c r="S8" i="4"/>
  <c r="R8" i="4"/>
  <c r="Q8" i="4"/>
  <c r="P8" i="4"/>
  <c r="O8" i="4"/>
  <c r="N8" i="4"/>
  <c r="J8" i="4"/>
  <c r="AI7" i="4"/>
  <c r="AA7" i="4"/>
  <c r="Z7" i="4"/>
  <c r="AE7" i="4" s="1"/>
  <c r="Y7" i="4"/>
  <c r="X7" i="4"/>
  <c r="W7" i="4"/>
  <c r="V7" i="4"/>
  <c r="U7" i="4"/>
  <c r="T7" i="4"/>
  <c r="S7" i="4"/>
  <c r="R7" i="4"/>
  <c r="Q7" i="4"/>
  <c r="P7" i="4"/>
  <c r="O7" i="4"/>
  <c r="N7" i="4"/>
  <c r="K7" i="4"/>
  <c r="J7" i="4"/>
  <c r="AI6" i="4"/>
  <c r="AA6" i="4"/>
  <c r="AE6" i="4" s="1"/>
  <c r="Z6" i="4"/>
  <c r="AD6" i="4" s="1"/>
  <c r="Y6" i="4"/>
  <c r="X6" i="4"/>
  <c r="W6" i="4"/>
  <c r="V6" i="4"/>
  <c r="U6" i="4"/>
  <c r="T6" i="4"/>
  <c r="S6" i="4"/>
  <c r="R6" i="4"/>
  <c r="Q6" i="4"/>
  <c r="P6" i="4"/>
  <c r="O6" i="4"/>
  <c r="N6" i="4"/>
  <c r="K6" i="4"/>
  <c r="J6" i="4"/>
  <c r="AI5" i="4"/>
  <c r="AA5" i="4"/>
  <c r="Z5" i="4"/>
  <c r="AE5" i="4" s="1"/>
  <c r="Y5" i="4"/>
  <c r="X5" i="4"/>
  <c r="W5" i="4"/>
  <c r="V5" i="4"/>
  <c r="U5" i="4"/>
  <c r="T5" i="4"/>
  <c r="S5" i="4"/>
  <c r="R5" i="4"/>
  <c r="Q5" i="4"/>
  <c r="P5" i="4"/>
  <c r="O5" i="4"/>
  <c r="N5" i="4"/>
  <c r="J5" i="4"/>
  <c r="AI4" i="4"/>
  <c r="AC4" i="4"/>
  <c r="AA4" i="4"/>
  <c r="Z4" i="4"/>
  <c r="AB4" i="4" s="1"/>
  <c r="Y4" i="4"/>
  <c r="X4" i="4"/>
  <c r="W4" i="4"/>
  <c r="V4" i="4"/>
  <c r="U4" i="4"/>
  <c r="AE4" i="4" s="1"/>
  <c r="T4" i="4"/>
  <c r="S4" i="4"/>
  <c r="R4" i="4"/>
  <c r="Q4" i="4"/>
  <c r="P4" i="4"/>
  <c r="O4" i="4"/>
  <c r="N4" i="4"/>
  <c r="K4" i="4"/>
  <c r="J4" i="4"/>
  <c r="AI3" i="4"/>
  <c r="AA3" i="4"/>
  <c r="AE3" i="4" s="1"/>
  <c r="Z3" i="4"/>
  <c r="Y3" i="4"/>
  <c r="X3" i="4"/>
  <c r="W3" i="4"/>
  <c r="V3" i="4"/>
  <c r="U3" i="4"/>
  <c r="T3" i="4"/>
  <c r="S3" i="4"/>
  <c r="R3" i="4"/>
  <c r="Q3" i="4"/>
  <c r="P3" i="4"/>
  <c r="O3" i="4"/>
  <c r="N3" i="4"/>
  <c r="J3" i="4"/>
  <c r="AI2" i="4"/>
  <c r="AA2" i="4"/>
  <c r="Z2" i="4"/>
  <c r="AD2" i="4" s="1"/>
  <c r="Y2" i="4"/>
  <c r="X2" i="4"/>
  <c r="W2" i="4"/>
  <c r="V2" i="4"/>
  <c r="U2" i="4"/>
  <c r="T2" i="4"/>
  <c r="S2" i="4"/>
  <c r="R2" i="4"/>
  <c r="Q2" i="4"/>
  <c r="P2" i="4"/>
  <c r="O2" i="4"/>
  <c r="N2" i="4"/>
  <c r="J2" i="4"/>
  <c r="AF8" i="2"/>
  <c r="AF7" i="2"/>
  <c r="AF6" i="2"/>
  <c r="AF5" i="2"/>
  <c r="L5" i="4" s="1"/>
  <c r="AF4" i="2"/>
  <c r="AF3" i="2"/>
  <c r="AF2" i="2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K5" i="4" s="1"/>
  <c r="AA61" i="1"/>
  <c r="K8" i="4" s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K2" i="4" s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K3" i="4" s="1"/>
  <c r="AA9" i="1"/>
  <c r="AA8" i="1"/>
  <c r="AA7" i="1"/>
  <c r="AA6" i="1"/>
  <c r="AA5" i="1"/>
  <c r="AA4" i="1"/>
  <c r="AA3" i="1"/>
  <c r="AA2" i="1"/>
  <c r="M5" i="4" l="1"/>
  <c r="M7" i="4"/>
  <c r="AF4" i="4"/>
  <c r="M6" i="4"/>
  <c r="M3" i="4"/>
  <c r="AE2" i="4"/>
  <c r="L2" i="4"/>
  <c r="M2" i="4" s="1"/>
  <c r="AD4" i="4"/>
  <c r="AB6" i="4"/>
  <c r="L7" i="4"/>
  <c r="AC6" i="4"/>
  <c r="AB8" i="4"/>
  <c r="AB3" i="4"/>
  <c r="L4" i="4"/>
  <c r="M4" i="4" s="1"/>
  <c r="AC3" i="4"/>
  <c r="AC8" i="4"/>
  <c r="AD3" i="4"/>
  <c r="AB5" i="4"/>
  <c r="L6" i="4"/>
  <c r="AD8" i="4"/>
  <c r="AC5" i="4"/>
  <c r="AB2" i="4"/>
  <c r="L3" i="4"/>
  <c r="AD5" i="4"/>
  <c r="AB7" i="4"/>
  <c r="AF7" i="4" s="1"/>
  <c r="L8" i="4"/>
  <c r="M8" i="4" s="1"/>
  <c r="AC2" i="4"/>
  <c r="AC7" i="4"/>
  <c r="AD7" i="4"/>
  <c r="AH4" i="4" l="1"/>
  <c r="AG4" i="4"/>
  <c r="AF8" i="4"/>
  <c r="AH8" i="4" s="1"/>
  <c r="AF3" i="4"/>
  <c r="AH3" i="4" s="1"/>
  <c r="AH7" i="4"/>
  <c r="AG7" i="4"/>
  <c r="AF2" i="4"/>
  <c r="AH2" i="4" s="1"/>
  <c r="AF6" i="4"/>
  <c r="AH6" i="4" s="1"/>
  <c r="AF5" i="4"/>
  <c r="AH5" i="4" s="1"/>
  <c r="AG3" i="4" l="1"/>
  <c r="AG5" i="4"/>
  <c r="AG2" i="4"/>
  <c r="AG6" i="4"/>
  <c r="AG8" i="4"/>
</calcChain>
</file>

<file path=xl/sharedStrings.xml><?xml version="1.0" encoding="utf-8"?>
<sst xmlns="http://schemas.openxmlformats.org/spreadsheetml/2006/main" count="557" uniqueCount="371">
  <si>
    <t>Project ID</t>
  </si>
  <si>
    <t>Project Name</t>
  </si>
  <si>
    <t>In-Service Date</t>
  </si>
  <si>
    <t>Sponsor</t>
  </si>
  <si>
    <t>Lineworkers Needed</t>
  </si>
  <si>
    <t>Engineers Needed</t>
  </si>
  <si>
    <t>Technicians Needed</t>
  </si>
  <si>
    <t>Equipment Operators Needed</t>
  </si>
  <si>
    <t>Safety Personnel Needed</t>
  </si>
  <si>
    <t>Total Crew Needed</t>
  </si>
  <si>
    <t>Bucket Trucks Needed</t>
  </si>
  <si>
    <t>Digger Derricks Needed</t>
  </si>
  <si>
    <t>Mobile Cranes Needed</t>
  </si>
  <si>
    <t>Excavators Needed</t>
  </si>
  <si>
    <t>Poles/Structures Needed</t>
  </si>
  <si>
    <t>Conductor Needed (mi)</t>
  </si>
  <si>
    <t>Transformers Needed</t>
  </si>
  <si>
    <t>Breakers/Switches Needed</t>
  </si>
  <si>
    <t>Reactors Needed</t>
  </si>
  <si>
    <t>Estimated Duration (days)</t>
  </si>
  <si>
    <t>Labor Cost ($)</t>
  </si>
  <si>
    <t>Equipment/Machinery Cost ($)</t>
  </si>
  <si>
    <t>Material Cost ($)</t>
  </si>
  <si>
    <t>Logistics Cost ($)</t>
  </si>
  <si>
    <t>Engineering/Admin Cost ($)</t>
  </si>
  <si>
    <t>External Contract Cost ($)</t>
  </si>
  <si>
    <t>Total Project Cost ($)</t>
  </si>
  <si>
    <t>18492</t>
  </si>
  <si>
    <t>MITCHELL - NORTH TIFTON 230KV RECONDUCTOR</t>
  </si>
  <si>
    <t>GPC</t>
  </si>
  <si>
    <t>19187</t>
  </si>
  <si>
    <t>GRID - BREMEN - CROOKED CREEK (APC) 115 KV PROJECT</t>
  </si>
  <si>
    <t>18153</t>
  </si>
  <si>
    <t>GTC: BONAIRE PRI- ECHECONNEE 115 KV PARTIAL REBUILD</t>
  </si>
  <si>
    <t>GTC</t>
  </si>
  <si>
    <t>20590</t>
  </si>
  <si>
    <t>GTC: EATONTON PRIMARY - LICK CREEK 115KV LINE SWITCH REPLACEMENT</t>
  </si>
  <si>
    <t>11821</t>
  </si>
  <si>
    <t>JESUP - LUDOWICI PRIMARY 115KV REBUILD</t>
  </si>
  <si>
    <t>13787</t>
  </si>
  <si>
    <t>MEAG: AULTMAN ROAD - BONAIRE PRIMARY 115 KV REBUILD</t>
  </si>
  <si>
    <t>MEAG</t>
  </si>
  <si>
    <t>20464</t>
  </si>
  <si>
    <t>NORCROSS 230KV BUS 1-3 SERIES BUS TIE BREAKER INSTALLATION</t>
  </si>
  <si>
    <t>19631</t>
  </si>
  <si>
    <t>PINE GROVE PRIMARY 115 KV DUAL STAGE CAPACITOR BANK</t>
  </si>
  <si>
    <t>20067</t>
  </si>
  <si>
    <t>SAV: DEPTFORD - MAGNOLIA 115KV RECONDUCTOR</t>
  </si>
  <si>
    <t>SAV</t>
  </si>
  <si>
    <t>21046</t>
  </si>
  <si>
    <t>THALMANN AND COLERAIN 23O KV LINE RELAY PANEL UPGRADES</t>
  </si>
  <si>
    <t>18889</t>
  </si>
  <si>
    <t>JEFFERSON STREET#3 - NORTHWEST (WHITE) 115 KV RECONDUCTOR</t>
  </si>
  <si>
    <t>20326</t>
  </si>
  <si>
    <t>ANTHONY SHOALS STATCOM SYSTEM</t>
  </si>
  <si>
    <t>20010</t>
  </si>
  <si>
    <t>GTC: ANTHONY SHOALS - WASHINGTON 115 KV LINE REBUILD</t>
  </si>
  <si>
    <t>17075</t>
  </si>
  <si>
    <t>SAV: LITTLE OGEECHEE 230- 115KV: RELAY MODERNIZATION</t>
  </si>
  <si>
    <t>18960</t>
  </si>
  <si>
    <t>BLANKETS CREEK – WOODSTOCK 115KV LINE REBUILD</t>
  </si>
  <si>
    <t>20491</t>
  </si>
  <si>
    <t>EAST POINT RELAY MODERNIZATION</t>
  </si>
  <si>
    <t>20516</t>
  </si>
  <si>
    <t>GOAT ROCK 230KV SWITCH, JUMPER, &amp; LINE TRAP REPLACEMENT</t>
  </si>
  <si>
    <t>19618</t>
  </si>
  <si>
    <t>GORDON-N DUBLIN 115KV (GORDON-ENGL MCI J) REBUILD</t>
  </si>
  <si>
    <t>21139</t>
  </si>
  <si>
    <t>GRADY - MORROW (WHITE) 115KV REBUILD</t>
  </si>
  <si>
    <t>19706</t>
  </si>
  <si>
    <t>GRID - GAINESVILLE #2 EQUIPMENT REPLACEMENT</t>
  </si>
  <si>
    <t>19334</t>
  </si>
  <si>
    <t>GTC: LAGRANGE - NORTH OPELIKA 230 KV</t>
  </si>
  <si>
    <t>19999</t>
  </si>
  <si>
    <t>GTC: ROBINS SPRING BUS REPLACEMENT</t>
  </si>
  <si>
    <t>20001</t>
  </si>
  <si>
    <t>GTC: ROBINS SPRING CAPACITOR BANK INSTALLATION</t>
  </si>
  <si>
    <t>20490</t>
  </si>
  <si>
    <t>KLONDIKE RELAY MODERNIZATION</t>
  </si>
  <si>
    <t>19598</t>
  </si>
  <si>
    <t>MEAG: DRESDEN - LAGRANGE PRIMARY 230KV UPGRADE &amp; JUMPERS</t>
  </si>
  <si>
    <t>20270</t>
  </si>
  <si>
    <t>MEAG: RAY PLACE RD - WASHINGTON #3</t>
  </si>
  <si>
    <t>20271</t>
  </si>
  <si>
    <t>MEAG: RAY PLACE RD - WASHINGTON (WASHINGTON - WASHINGTON 3)</t>
  </si>
  <si>
    <t>20300</t>
  </si>
  <si>
    <t>MORROW 115KV RELAY UPGRADE</t>
  </si>
  <si>
    <t>20066</t>
  </si>
  <si>
    <t>SAV: BOULEVARD - DEPTFORD 115KV RECONDUCTOR</t>
  </si>
  <si>
    <t>20277</t>
  </si>
  <si>
    <t>SAV: MCINTOSH - PURRYSBURG 230KV REACTORS</t>
  </si>
  <si>
    <t>17900</t>
  </si>
  <si>
    <t>UNION CITY - YATES 230 KV WHITE LINE REBUILD</t>
  </si>
  <si>
    <t>20691</t>
  </si>
  <si>
    <t>UNION CITY - YATES 230KV (WHITE) SWITCH AND TRAP REPLACEMENT</t>
  </si>
  <si>
    <t>20223</t>
  </si>
  <si>
    <t>CC - PROJECT PAYTON BAINBRIDGE</t>
  </si>
  <si>
    <t>20874</t>
  </si>
  <si>
    <t>GTC: BARNESVILLE PRIMARY- BARNESVILLE #1 115KV RECONDUCTOR</t>
  </si>
  <si>
    <t>20002</t>
  </si>
  <si>
    <t>GTC: GORDON - SANDERSVILLE #1 115KV LINE REBUILD</t>
  </si>
  <si>
    <t>19363</t>
  </si>
  <si>
    <t>MORROW - MOUNTAIN VIEW 115 KV REBUILD</t>
  </si>
  <si>
    <t>20509</t>
  </si>
  <si>
    <t>CC - EMBLEM RIVERSIDE CUSTOMER SUB (FLEXENTIAL)</t>
  </si>
  <si>
    <t>19601</t>
  </si>
  <si>
    <t>MORROW - YATES COMMON 115KV LINE UPGRADE</t>
  </si>
  <si>
    <t>15879</t>
  </si>
  <si>
    <t>POSSUM BRANCH - YATES COMMON 115KV REBUILD (YATES TO CLEM)</t>
  </si>
  <si>
    <t>20736</t>
  </si>
  <si>
    <t>CC - TA REALTY ELLENWOOD NETWORK IMPROVEMENTS</t>
  </si>
  <si>
    <t>20234</t>
  </si>
  <si>
    <t>DOYLE - LG&amp;E MONROE 230KV - JACKS CREEK LOOP IN</t>
  </si>
  <si>
    <t>20778</t>
  </si>
  <si>
    <t>GTC: DOYLE - WINDER PRIMARY 230KV LINE JUMPER REPLACEMENT</t>
  </si>
  <si>
    <t>19358</t>
  </si>
  <si>
    <t>GTC: EAST MOULTRIE - HIGHWAY 112 230 KV LINE</t>
  </si>
  <si>
    <t>20020</t>
  </si>
  <si>
    <t>GTC: SOUTH HAZLEHURST - NEW LACY 230KV LINE</t>
  </si>
  <si>
    <t>18668</t>
  </si>
  <si>
    <t>JESUP - OFFERMAN 115KV REBUILD</t>
  </si>
  <si>
    <t>10143</t>
  </si>
  <si>
    <t>LAWRENCEVILLE - WINDER 115KV LINE REBUILD</t>
  </si>
  <si>
    <t>10481</t>
  </si>
  <si>
    <t>LAWRENCEVILLE - WINDER PRIMARY 230KV LINE REBUILD</t>
  </si>
  <si>
    <t>20264</t>
  </si>
  <si>
    <t>MEAG: RAY PLACE RD - WARRENTON PRIMARY</t>
  </si>
  <si>
    <t>19248</t>
  </si>
  <si>
    <t>SANDERSVILLE #1 - WADLEY PRI. 115KV REBUILD/RECONDUCTOR</t>
  </si>
  <si>
    <t>20785</t>
  </si>
  <si>
    <t>SAV: GOSHEN (SAV) - KRAFT 115KV LINE REBUILD</t>
  </si>
  <si>
    <t>20065</t>
  </si>
  <si>
    <t>SAV: GOSHEN (SAV) - MCINTOSH 115KV LINE REBUILD</t>
  </si>
  <si>
    <t>18573</t>
  </si>
  <si>
    <t>GRID - ARKWRIGHT - LLOYD SHOALS 115KV</t>
  </si>
  <si>
    <t>20591</t>
  </si>
  <si>
    <t>GTC: EATONTON PRIMARY (035591) - LICK CREEK 115KV REBUILD</t>
  </si>
  <si>
    <t>17977</t>
  </si>
  <si>
    <t>ATHENA - EAST WATKINSVILLE 115 KV (REBUILD)</t>
  </si>
  <si>
    <t>08458</t>
  </si>
  <si>
    <t>GTC: BARNESVILLE - SOUTH GRIFFIN 230KV PROJECT</t>
  </si>
  <si>
    <t>20503</t>
  </si>
  <si>
    <t>GTC: BARNEYVILLE - EAST MOULTRIE 115KV NEW LINE</t>
  </si>
  <si>
    <t>20873</t>
  </si>
  <si>
    <t>GTC: BONAIRE PRIMARY 500/230KV XFMR REPLCMNT &amp; RELAY MOD</t>
  </si>
  <si>
    <t>19629</t>
  </si>
  <si>
    <t>MEAG: BRUMBLEY CREEK - SOUTH BAINBRIDGE 115KV REBUILD</t>
  </si>
  <si>
    <t>20656</t>
  </si>
  <si>
    <t>PLANT YATES BREAKER AND HALF STATION</t>
  </si>
  <si>
    <t>20783</t>
  </si>
  <si>
    <t>SAV: COLEMAN - DEAN FOREST 115KV LINE REBUILD</t>
  </si>
  <si>
    <t>20407</t>
  </si>
  <si>
    <t>SAV: MAGNOLIA - TRUMAN PARKWAY 115KV REBUILD</t>
  </si>
  <si>
    <t>20768</t>
  </si>
  <si>
    <t>SOUTH MACON 115KV BUSES 1 &amp; 2 REPLACEMENT</t>
  </si>
  <si>
    <t>20274</t>
  </si>
  <si>
    <t>UNION CITY - YATES 230KV (BLACK) LINE REBUILD</t>
  </si>
  <si>
    <t>10222</t>
  </si>
  <si>
    <t>BLAKELY PRIMARY - HUCKLEBERRY 115KV REBUILD</t>
  </si>
  <si>
    <t>16887</t>
  </si>
  <si>
    <t>BUTLER - THOMASTON 230KV LINE CONVERSION</t>
  </si>
  <si>
    <t>21142</t>
  </si>
  <si>
    <t>CONYERS - KLONDIKE 230 KV SECOND LINE</t>
  </si>
  <si>
    <t>21138</t>
  </si>
  <si>
    <t>GLENWOOD SPRINGS - PORTERDALE PRIMARY 230KV LINE SWITCH REPL</t>
  </si>
  <si>
    <t>21112</t>
  </si>
  <si>
    <t>GTC: BARNESVILLE PRIMARY - THOMASTON 230KV</t>
  </si>
  <si>
    <t>10814</t>
  </si>
  <si>
    <t>GTC: BAY CREEK 230/115KV SECOND AUTO TRANSFORMER</t>
  </si>
  <si>
    <t>21140</t>
  </si>
  <si>
    <t>GTC: BONAIRE PRIMARY - EASTMAN PRIMARY 115 KV LINE REBUILD</t>
  </si>
  <si>
    <t>20760</t>
  </si>
  <si>
    <t>GTC: HOPEWELL 230/115 KV BANK A</t>
  </si>
  <si>
    <t>21141</t>
  </si>
  <si>
    <t>LLOYD SHOALS - PORTERDALE PRIMARY 115KV REBUILD</t>
  </si>
  <si>
    <t>19621</t>
  </si>
  <si>
    <t>MCEVER ROAD - SHOAL CREEK 115KV REBUILD</t>
  </si>
  <si>
    <t>20346</t>
  </si>
  <si>
    <t>MCMANUS - WEST BRUNSWICK 115KV REBUILD</t>
  </si>
  <si>
    <t>20757</t>
  </si>
  <si>
    <t>NORCROSS - NORTH DRUID HILLS 115KV REBUILD</t>
  </si>
  <si>
    <t>21006</t>
  </si>
  <si>
    <t>SAV: BOULEVARD - MAGNOLIA 115 KV LINE REBUILD</t>
  </si>
  <si>
    <t>21023</t>
  </si>
  <si>
    <t>SAV: DEAN FOREST - LITTLE OGEECHEE 230 KV REBUILD</t>
  </si>
  <si>
    <t>13628</t>
  </si>
  <si>
    <t>SOUTH BAINBRIDGE - SINAI (FPL) 115KV LINE RECONDUCTOR</t>
  </si>
  <si>
    <t>20248</t>
  </si>
  <si>
    <t>BAY CREEK - CONYERS 230KV REBUILD</t>
  </si>
  <si>
    <t>18669</t>
  </si>
  <si>
    <t>DU: DAWSON CROSSING - NELSON (WHITE) 115 KV REBUILD</t>
  </si>
  <si>
    <t>DU</t>
  </si>
  <si>
    <t>21097</t>
  </si>
  <si>
    <t>EAST POINT - TRIBUTARY 230KV REBUILD</t>
  </si>
  <si>
    <t>20480</t>
  </si>
  <si>
    <t>EAST POINT - UNION CITY 230KV BLACK LINE RECONDUCTOR</t>
  </si>
  <si>
    <t>12120</t>
  </si>
  <si>
    <t>GAINESVILLE #2 - MCEVER ROAD 115 KV REBUILD</t>
  </si>
  <si>
    <t>20298</t>
  </si>
  <si>
    <t>GLENWOOD SPRINGS - LAKE OCONEE 115KV LINE REBUILD</t>
  </si>
  <si>
    <t>21128</t>
  </si>
  <si>
    <t>GOAT ROCK REACTORS INSTALLATION</t>
  </si>
  <si>
    <t>19996</t>
  </si>
  <si>
    <t>GOLDENS CREEK - WARRENTON PRIMARY 230KV REBUILD</t>
  </si>
  <si>
    <t>20428</t>
  </si>
  <si>
    <t>GORDON-SANDERSVILLE #1 115KV LINE REBUILD (DEEPSTEP-SAND #6)</t>
  </si>
  <si>
    <t>21116</t>
  </si>
  <si>
    <t>GOSHEN AREA STRATEGIC SOLUTION</t>
  </si>
  <si>
    <t>21073</t>
  </si>
  <si>
    <t>GTC: BIG SMARR - TOMOCHICHI 500KV</t>
  </si>
  <si>
    <t>20375</t>
  </si>
  <si>
    <t>GTC: EAST WATKINSVILLE 230 KV STATION MODIFICATION</t>
  </si>
  <si>
    <t>21077</t>
  </si>
  <si>
    <t>GTC: ROCKVILLE - TIGER CREEK -WARTHEN 500KV LINES</t>
  </si>
  <si>
    <t>21094</t>
  </si>
  <si>
    <t>GTC: TIGER CREEK- ROCKVILLE-NORTH SPA 230KV PROJECT</t>
  </si>
  <si>
    <t>20789</t>
  </si>
  <si>
    <t>JEFFERSON ROAD - WINDER PRIMARY 115KV REBUILD</t>
  </si>
  <si>
    <t>20284</t>
  </si>
  <si>
    <t>KETTLE CREEK PRIMARY - PINE GROVE PRIMARY 115KV REBUILD</t>
  </si>
  <si>
    <t>21118</t>
  </si>
  <si>
    <t>MEAG: ATHENA - WARRENTON 230KV CONVERSION</t>
  </si>
  <si>
    <t>19995</t>
  </si>
  <si>
    <t>TALLULAH LODGE - TOCCOA 115 KV REBUILD</t>
  </si>
  <si>
    <t>20160</t>
  </si>
  <si>
    <t>THOMASTON 230 NEW BUILD SUB</t>
  </si>
  <si>
    <t>18848</t>
  </si>
  <si>
    <t>BAINBRIDGE TRANSMISSION: EAST RIVER ROAD, EAST BAINBRIDGE</t>
  </si>
  <si>
    <t>19626</t>
  </si>
  <si>
    <t>GLENWOOD SPRINGS 115KV CAP BANK</t>
  </si>
  <si>
    <t>20690</t>
  </si>
  <si>
    <t>EAST POINT - UNION CITY (WHITE) 230KV REBUILD</t>
  </si>
  <si>
    <t>19632</t>
  </si>
  <si>
    <t>AVERY - HOPEWELL 115KV RECONDUCTOR</t>
  </si>
  <si>
    <t>10811</t>
  </si>
  <si>
    <t>BOWEN #10 500/230KV AUTOBANK REPLACEMENT</t>
  </si>
  <si>
    <t>20756</t>
  </si>
  <si>
    <t>HATCH - WADLEY 500 KV LINE STRATEGIC PROJECT</t>
  </si>
  <si>
    <t>21114</t>
  </si>
  <si>
    <t>MEAG: SOUTH GRIFFIN 230/115KV BANK #5</t>
  </si>
  <si>
    <t>20784</t>
  </si>
  <si>
    <t>SAV: COLEMAN - MELDRIM 115KV LINE REBUILD</t>
  </si>
  <si>
    <t>20758</t>
  </si>
  <si>
    <t>BAY CREEK - CONYERS 230KV LIMITING ELEMENT REPLACEMENT</t>
  </si>
  <si>
    <t>20793</t>
  </si>
  <si>
    <t>EVANS PRIMARY - THURMOND DAM (USA) #5 115KV REBUILD</t>
  </si>
  <si>
    <t>20794</t>
  </si>
  <si>
    <t>EVANS PRIMARY - THURMOND DAM (USA) #6 115KV REBUILD</t>
  </si>
  <si>
    <t>12217</t>
  </si>
  <si>
    <t>GTC: CENTER PRIMARY - CLARKSBORO 230 KV REBUILD</t>
  </si>
  <si>
    <t>20773</t>
  </si>
  <si>
    <t>GTC: CLARKSBORO - WINDER PRIMARY 230KV REBUILD</t>
  </si>
  <si>
    <t>12147</t>
  </si>
  <si>
    <t>GTC: EAST SOCIAL CIRCLE - SNELLVILLE 230KV EQUIPMENT UPGRADE</t>
  </si>
  <si>
    <t>20791</t>
  </si>
  <si>
    <t>GTC: SHOAL CREEK - SOUTH HALL 230KV REBUILD</t>
  </si>
  <si>
    <t>21053</t>
  </si>
  <si>
    <t>MCEVER ROAD - SHOAL CREEK 115KV REBUILD PHASE III</t>
  </si>
  <si>
    <t>20796</t>
  </si>
  <si>
    <t>SAV: MELDRIM BANK D REPLACEMENT</t>
  </si>
  <si>
    <t>14222</t>
  </si>
  <si>
    <t>THOMSON PRIMARY 230/115KV SECOND TRANSFORMER</t>
  </si>
  <si>
    <t>20759</t>
  </si>
  <si>
    <t>WINDER PRIMARY 230KV BUS 1-2 PARALLEL BUS-TIE INSTALLATION</t>
  </si>
  <si>
    <t>10487</t>
  </si>
  <si>
    <t>PINE GROVE PRIMARY - WEST VALDOSTA 115 KV RECONDUCTOR</t>
  </si>
  <si>
    <t>18700</t>
  </si>
  <si>
    <t>DAWSON CROSSING - GAINESVILLE #1 115 KV</t>
  </si>
  <si>
    <t>20787</t>
  </si>
  <si>
    <t>SAV: LITTLE OGEECHEE 230/115KV BANK REPLACEMENT</t>
  </si>
  <si>
    <t>17993</t>
  </si>
  <si>
    <t>EVANS PRIMARY - THOMSON PRIMARY 115KV REBUILD</t>
  </si>
  <si>
    <t>Status</t>
  </si>
  <si>
    <t>Located Point</t>
  </si>
  <si>
    <t>Latitude</t>
  </si>
  <si>
    <t>Longitude</t>
  </si>
  <si>
    <t>Center Latitude</t>
  </si>
  <si>
    <t>Center Longitude</t>
  </si>
  <si>
    <t>0139 M,N</t>
  </si>
  <si>
    <t>Okatie 230-115kV Substation, Jasper – Yemassee 230kV #1 Fold-in</t>
  </si>
  <si>
    <t>In Progress</t>
  </si>
  <si>
    <t>Yemassee Substation</t>
  </si>
  <si>
    <t>6341 A-F</t>
  </si>
  <si>
    <t>Cainhoy - Hamlin 115kV: Rebuild Line and Cainhoy – Hamlin 115 kV #2: Construct New 115 kV Line</t>
  </si>
  <si>
    <t>Cainhoy Substation</t>
  </si>
  <si>
    <t>6808 N,O</t>
  </si>
  <si>
    <t>VCS1-Denny Terrace 230kV &amp; VCS1-Pineland 230kV: Rebuild Single Circuit Sections</t>
  </si>
  <si>
    <t>Denny Terrace Substation</t>
  </si>
  <si>
    <t>6808 S</t>
  </si>
  <si>
    <t>Okatie-Bluffton 115kV: Rebuild</t>
  </si>
  <si>
    <t>Bluffton Substation</t>
  </si>
  <si>
    <t>06076A</t>
  </si>
  <si>
    <t>Canadys-Ritter 115KV-Rebld SPDC 230/115KV 1272 (Approx 18 Miles)</t>
  </si>
  <si>
    <t>Canadys Substation</t>
  </si>
  <si>
    <t>6359</t>
  </si>
  <si>
    <t>Yemassee– Ritter 230kV #1 &amp; #2: Construct SPDC with B-1272</t>
  </si>
  <si>
    <t>Planned</t>
  </si>
  <si>
    <t>0147 C, K</t>
  </si>
  <si>
    <t>Cainhoy 115 kV Tap: Construct</t>
  </si>
  <si>
    <t>Workbook</t>
  </si>
  <si>
    <t>Gridlock Utility A + Utility B Synthetic Resource Data</t>
  </si>
  <si>
    <t>Utility A</t>
  </si>
  <si>
    <t>120 projects from the Utility A source dataset. Resource quantities and costs are synthetic prototype estimates.</t>
  </si>
  <si>
    <t>Utility B</t>
  </si>
  <si>
    <t>7 projects supplied for Utility B. Resource quantities and costs are synthetic prototype estimates.</t>
  </si>
  <si>
    <t>Cost Method</t>
  </si>
  <si>
    <t>Total Project Cost = Labor + Equipment/Machinery + Material + Logistics + Engineering/Admin + External Contract Cost.</t>
  </si>
  <si>
    <t>Important</t>
  </si>
  <si>
    <t>Project IDs/names/source fields are preserved; added resource and financial values are sample/demo data, not actual utility internal figures.</t>
  </si>
  <si>
    <t>Overlap ID</t>
  </si>
  <si>
    <t>Utility A Project ID</t>
  </si>
  <si>
    <t>Utility A Project</t>
  </si>
  <si>
    <t>A In-Service Date</t>
  </si>
  <si>
    <t>Utility B Project ID</t>
  </si>
  <si>
    <t>Utility B Project</t>
  </si>
  <si>
    <t>B In-Service Date</t>
  </si>
  <si>
    <t>Distance (mi)</t>
  </si>
  <si>
    <t>Time Gap (days)</t>
  </si>
  <si>
    <t>Opportunity Type</t>
  </si>
  <si>
    <t>A Total Project Cost ($)</t>
  </si>
  <si>
    <t>B Total Project Cost ($)</t>
  </si>
  <si>
    <t>Baseline Separate Cost ($)</t>
  </si>
  <si>
    <t>A Equipment Cost ($)</t>
  </si>
  <si>
    <t>B Equipment Cost ($)</t>
  </si>
  <si>
    <t>A Logistics Cost ($)</t>
  </si>
  <si>
    <t>B Logistics Cost ($)</t>
  </si>
  <si>
    <t>A Contract Cost ($)</t>
  </si>
  <si>
    <t>B Contract Cost ($)</t>
  </si>
  <si>
    <t>A Material Cost ($)</t>
  </si>
  <si>
    <t>B Material Cost ($)</t>
  </si>
  <si>
    <t>Shared Bucket Trucks</t>
  </si>
  <si>
    <t>Shared Digger Derricks</t>
  </si>
  <si>
    <t>Shared Cranes</t>
  </si>
  <si>
    <t>Shared Excavators</t>
  </si>
  <si>
    <t>Distance Factor</t>
  </si>
  <si>
    <t>Time Factor</t>
  </si>
  <si>
    <t>Equipment Savings ($)</t>
  </si>
  <si>
    <t>Logistics Savings ($)</t>
  </si>
  <si>
    <t>Contract Savings ($)</t>
  </si>
  <si>
    <t>Bulk Material Savings ($)</t>
  </si>
  <si>
    <t>Estimated Potential Savings ($)</t>
  </si>
  <si>
    <t>Estimated Collaborative Cost ($)</t>
  </si>
  <si>
    <t>Savings %</t>
  </si>
  <si>
    <t>Recommendation</t>
  </si>
  <si>
    <t>OVL_1</t>
  </si>
  <si>
    <t>03/01/2027</t>
  </si>
  <si>
    <t>06/01/2025</t>
  </si>
  <si>
    <t>OVL_2</t>
  </si>
  <si>
    <t>OVL_3</t>
  </si>
  <si>
    <t>06/01/2026</t>
  </si>
  <si>
    <t>OVL_4</t>
  </si>
  <si>
    <t>06/01/2028</t>
  </si>
  <si>
    <t>OVL_5</t>
  </si>
  <si>
    <t>OVL_6</t>
  </si>
  <si>
    <t>06/01/2029</t>
  </si>
  <si>
    <t>OVL_7</t>
  </si>
  <si>
    <t>Savings Model Assumptions</t>
  </si>
  <si>
    <t>Value</t>
  </si>
  <si>
    <t>Equipment sharing rate</t>
  </si>
  <si>
    <t>20% of smaller equipment cost × distance factor × time factor</t>
  </si>
  <si>
    <t>Logistics/staging sharing rate</t>
  </si>
  <si>
    <t>35% of smaller logistics cost × distance factor × time factor</t>
  </si>
  <si>
    <t>Contractor coordination rate</t>
  </si>
  <si>
    <t>12% of smaller external contract cost × distance factor × time factor</t>
  </si>
  <si>
    <t>Bulk material/procurement rate</t>
  </si>
  <si>
    <t>5% of smaller material cost × distance factor × time factor</t>
  </si>
  <si>
    <t>Distance factor</t>
  </si>
  <si>
    <t>≤10 mi = 100%; ≤20 mi = 80%; ≤25 mi = 60%; &gt;25 mi = 0%</t>
  </si>
  <si>
    <t>Time factor</t>
  </si>
  <si>
    <t>0 days = 100%; ≤365 = 75%; ≤730 = 50%; ≤1095 = 25%; &gt;1095 = 10%</t>
  </si>
  <si>
    <t>All savings are synthetic prototype estimates for demonstrating Gridlock's planning value; not actual utility savings commitments.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</si>
</sst>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mm/dd/yyyy"/>
    <numFmt numFmtId="166" formatCode="0.0"/>
    <numFmt numFmtId="167" formatCode="0;[Red]\(0\);\-"/>
    <numFmt numFmtId="168" formatCode="0.000000"/>
    <numFmt numFmtId="169" formatCode="0.0%"/>
  </numFmts>
  <fonts count="7">
    <font>
      <sz val="11"/>
      <color theme="1"/>
      <name val="Calibri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000000"/>
      <name val="Carlito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66" fontId="2" fillId="0" borderId="1" xfId="0" applyNumberFormat="1" applyFont="1" applyBorder="1" applyAlignment="1">
      <alignment horizontal="center" wrapText="1"/>
    </xf>
    <xf numFmtId="167" fontId="2" fillId="0" borderId="1" xfId="0" applyNumberFormat="1" applyFont="1" applyBorder="1" applyAlignment="1">
      <alignment wrapText="1"/>
    </xf>
    <xf numFmtId="167" fontId="3" fillId="0" borderId="1" xfId="0" applyNumberFormat="1" applyFont="1" applyBorder="1" applyAlignment="1">
      <alignment wrapText="1"/>
    </xf>
    <xf numFmtId="168" fontId="2" fillId="0" borderId="1" xfId="0" applyNumberFormat="1" applyFont="1" applyBorder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167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69" fontId="0" fillId="0" borderId="0" xfId="0" applyNumberFormat="1" applyAlignment="1">
      <alignment wrapText="1"/>
    </xf>
    <xf numFmtId="2" fontId="5" fillId="0" borderId="0" xfId="0" applyNumberFormat="1" applyFont="1" applyAlignment="1">
      <alignment wrapText="1"/>
    </xf>
    <xf numFmtId="0" fontId="6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tilityAResources_UtilityAResourceTable" displayName="UtilityAResources_UtilityAResourceTable" ref="A1:AA121">
  <autoFilter ref="A1:AA121" xr:uid="{00000000-0009-0000-0100-000001000000}"/>
  <tableColumns count="27">
    <tableColumn id="1" xr3:uid="{00000000-0010-0000-0000-000001000000}" name="Project ID"/>
    <tableColumn id="2" xr3:uid="{00000000-0010-0000-0000-000002000000}" name="Project Name"/>
    <tableColumn id="3" xr3:uid="{00000000-0010-0000-0000-000003000000}" name="In-Service Date"/>
    <tableColumn id="4" xr3:uid="{00000000-0010-0000-0000-000004000000}" name="Sponsor"/>
    <tableColumn id="5" xr3:uid="{00000000-0010-0000-0000-000005000000}" name="Lineworkers Needed"/>
    <tableColumn id="6" xr3:uid="{00000000-0010-0000-0000-000006000000}" name="Engineers Needed"/>
    <tableColumn id="7" xr3:uid="{00000000-0010-0000-0000-000007000000}" name="Technicians Needed"/>
    <tableColumn id="8" xr3:uid="{00000000-0010-0000-0000-000008000000}" name="Equipment Operators Needed"/>
    <tableColumn id="9" xr3:uid="{00000000-0010-0000-0000-000009000000}" name="Safety Personnel Needed"/>
    <tableColumn id="10" xr3:uid="{00000000-0010-0000-0000-00000A000000}" name="Total Crew Needed"/>
    <tableColumn id="11" xr3:uid="{00000000-0010-0000-0000-00000B000000}" name="Bucket Trucks Needed"/>
    <tableColumn id="12" xr3:uid="{00000000-0010-0000-0000-00000C000000}" name="Digger Derricks Needed"/>
    <tableColumn id="13" xr3:uid="{00000000-0010-0000-0000-00000D000000}" name="Mobile Cranes Needed"/>
    <tableColumn id="14" xr3:uid="{00000000-0010-0000-0000-00000E000000}" name="Excavators Needed"/>
    <tableColumn id="15" xr3:uid="{00000000-0010-0000-0000-00000F000000}" name="Poles/Structures Needed"/>
    <tableColumn id="16" xr3:uid="{00000000-0010-0000-0000-000010000000}" name="Conductor Needed (mi)"/>
    <tableColumn id="17" xr3:uid="{00000000-0010-0000-0000-000011000000}" name="Transformers Needed"/>
    <tableColumn id="18" xr3:uid="{00000000-0010-0000-0000-000012000000}" name="Breakers/Switches Needed"/>
    <tableColumn id="19" xr3:uid="{00000000-0010-0000-0000-000013000000}" name="Reactors Needed"/>
    <tableColumn id="20" xr3:uid="{00000000-0010-0000-0000-000014000000}" name="Estimated Duration (days)"/>
    <tableColumn id="21" xr3:uid="{00000000-0010-0000-0000-000015000000}" name="Labor Cost ($)"/>
    <tableColumn id="22" xr3:uid="{00000000-0010-0000-0000-000016000000}" name="Equipment/Machinery Cost ($)"/>
    <tableColumn id="23" xr3:uid="{00000000-0010-0000-0000-000017000000}" name="Material Cost ($)"/>
    <tableColumn id="24" xr3:uid="{00000000-0010-0000-0000-000018000000}" name="Logistics Cost ($)"/>
    <tableColumn id="25" xr3:uid="{00000000-0010-0000-0000-000019000000}" name="Engineering/Admin Cost ($)"/>
    <tableColumn id="26" xr3:uid="{00000000-0010-0000-0000-00001A000000}" name="External Contract Cost ($)"/>
    <tableColumn id="27" xr3:uid="{00000000-0010-0000-0000-00001B000000}" name="Total Project Cost ($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tilityBResources_UtilityBResourceTable" displayName="UtilityBResources_UtilityBResourceTable" ref="A1:AF8">
  <autoFilter ref="A1:AF8" xr:uid="{00000000-0009-0000-0100-000002000000}"/>
  <tableColumns count="32">
    <tableColumn id="1" xr3:uid="{00000000-0010-0000-0100-000001000000}" name="Project ID"/>
    <tableColumn id="2" xr3:uid="{00000000-0010-0000-0100-000002000000}" name="Project Name"/>
    <tableColumn id="3" xr3:uid="{00000000-0010-0000-0100-000003000000}" name="In-Service Date"/>
    <tableColumn id="4" xr3:uid="{00000000-0010-0000-0100-000004000000}" name="Status"/>
    <tableColumn id="5" xr3:uid="{00000000-0010-0000-0100-000005000000}" name="Located Point"/>
    <tableColumn id="6" xr3:uid="{00000000-0010-0000-0100-000006000000}" name="Latitude"/>
    <tableColumn id="7" xr3:uid="{00000000-0010-0000-0100-000007000000}" name="Longitude"/>
    <tableColumn id="8" xr3:uid="{00000000-0010-0000-0100-000008000000}" name="Center Latitude"/>
    <tableColumn id="9" xr3:uid="{00000000-0010-0000-0100-000009000000}" name="Center Longitude"/>
    <tableColumn id="10" xr3:uid="{00000000-0010-0000-0100-00000A000000}" name="Lineworkers Needed"/>
    <tableColumn id="11" xr3:uid="{00000000-0010-0000-0100-00000B000000}" name="Engineers Needed"/>
    <tableColumn id="12" xr3:uid="{00000000-0010-0000-0100-00000C000000}" name="Technicians Needed"/>
    <tableColumn id="13" xr3:uid="{00000000-0010-0000-0100-00000D000000}" name="Equipment Operators Needed"/>
    <tableColumn id="14" xr3:uid="{00000000-0010-0000-0100-00000E000000}" name="Safety Personnel Needed"/>
    <tableColumn id="15" xr3:uid="{00000000-0010-0000-0100-00000F000000}" name="Total Crew Needed"/>
    <tableColumn id="16" xr3:uid="{00000000-0010-0000-0100-000010000000}" name="Bucket Trucks Needed"/>
    <tableColumn id="17" xr3:uid="{00000000-0010-0000-0100-000011000000}" name="Digger Derricks Needed"/>
    <tableColumn id="18" xr3:uid="{00000000-0010-0000-0100-000012000000}" name="Mobile Cranes Needed"/>
    <tableColumn id="19" xr3:uid="{00000000-0010-0000-0100-000013000000}" name="Excavators Needed"/>
    <tableColumn id="20" xr3:uid="{00000000-0010-0000-0100-000014000000}" name="Poles/Structures Needed"/>
    <tableColumn id="21" xr3:uid="{00000000-0010-0000-0100-000015000000}" name="Conductor Needed (mi)"/>
    <tableColumn id="22" xr3:uid="{00000000-0010-0000-0100-000016000000}" name="Transformers Needed"/>
    <tableColumn id="23" xr3:uid="{00000000-0010-0000-0100-000017000000}" name="Breakers/Switches Needed"/>
    <tableColumn id="24" xr3:uid="{00000000-0010-0000-0100-000018000000}" name="Reactors Needed"/>
    <tableColumn id="25" xr3:uid="{00000000-0010-0000-0100-000019000000}" name="Estimated Duration (days)"/>
    <tableColumn id="26" xr3:uid="{00000000-0010-0000-0100-00001A000000}" name="Labor Cost ($)"/>
    <tableColumn id="27" xr3:uid="{00000000-0010-0000-0100-00001B000000}" name="Equipment/Machinery Cost ($)"/>
    <tableColumn id="28" xr3:uid="{00000000-0010-0000-0100-00001C000000}" name="Material Cost ($)"/>
    <tableColumn id="29" xr3:uid="{00000000-0010-0000-0100-00001D000000}" name="Logistics Cost ($)"/>
    <tableColumn id="30" xr3:uid="{00000000-0010-0000-0100-00001E000000}" name="Engineering/Admin Cost ($)"/>
    <tableColumn id="31" xr3:uid="{00000000-0010-0000-0100-00001F000000}" name="External Contract Cost ($)"/>
    <tableColumn id="32" xr3:uid="{00000000-0010-0000-0100-000020000000}" name="Total Project Cost ($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llaborationSavingsTable" displayName="CollaborationSavingsTable" ref="A1:AI8" totalsRowShown="0">
  <tableColumns count="35">
    <tableColumn id="1" xr3:uid="{00000000-0010-0000-0200-000001000000}" name="Overlap ID"/>
    <tableColumn id="2" xr3:uid="{00000000-0010-0000-0200-000002000000}" name="Utility A Project ID"/>
    <tableColumn id="3" xr3:uid="{00000000-0010-0000-0200-000003000000}" name="Utility A Project"/>
    <tableColumn id="4" xr3:uid="{00000000-0010-0000-0200-000004000000}" name="A In-Service Date"/>
    <tableColumn id="5" xr3:uid="{00000000-0010-0000-0200-000005000000}" name="Utility B Project ID"/>
    <tableColumn id="6" xr3:uid="{00000000-0010-0000-0200-000006000000}" name="Utility B Project"/>
    <tableColumn id="7" xr3:uid="{00000000-0010-0000-0200-000007000000}" name="B In-Service Date"/>
    <tableColumn id="8" xr3:uid="{00000000-0010-0000-0200-000008000000}" name="Distance (mi)"/>
    <tableColumn id="9" xr3:uid="{00000000-0010-0000-0200-000009000000}" name="Time Gap (days)"/>
    <tableColumn id="10" xr3:uid="{00000000-0010-0000-0200-00000A000000}" name="Opportunity Type"/>
    <tableColumn id="11" xr3:uid="{00000000-0010-0000-0200-00000B000000}" name="A Total Project Cost ($)"/>
    <tableColumn id="12" xr3:uid="{00000000-0010-0000-0200-00000C000000}" name="B Total Project Cost ($)"/>
    <tableColumn id="13" xr3:uid="{00000000-0010-0000-0200-00000D000000}" name="Baseline Separate Cost ($)"/>
    <tableColumn id="14" xr3:uid="{00000000-0010-0000-0200-00000E000000}" name="A Equipment Cost ($)"/>
    <tableColumn id="15" xr3:uid="{00000000-0010-0000-0200-00000F000000}" name="B Equipment Cost ($)"/>
    <tableColumn id="16" xr3:uid="{00000000-0010-0000-0200-000010000000}" name="A Logistics Cost ($)"/>
    <tableColumn id="17" xr3:uid="{00000000-0010-0000-0200-000011000000}" name="B Logistics Cost ($)"/>
    <tableColumn id="18" xr3:uid="{00000000-0010-0000-0200-000012000000}" name="A Contract Cost ($)"/>
    <tableColumn id="19" xr3:uid="{00000000-0010-0000-0200-000013000000}" name="B Contract Cost ($)"/>
    <tableColumn id="20" xr3:uid="{00000000-0010-0000-0200-000014000000}" name="A Material Cost ($)"/>
    <tableColumn id="21" xr3:uid="{00000000-0010-0000-0200-000015000000}" name="B Material Cost ($)"/>
    <tableColumn id="22" xr3:uid="{00000000-0010-0000-0200-000016000000}" name="Shared Bucket Trucks"/>
    <tableColumn id="23" xr3:uid="{00000000-0010-0000-0200-000017000000}" name="Shared Digger Derricks"/>
    <tableColumn id="24" xr3:uid="{00000000-0010-0000-0200-000018000000}" name="Shared Cranes"/>
    <tableColumn id="25" xr3:uid="{00000000-0010-0000-0200-000019000000}" name="Shared Excavators"/>
    <tableColumn id="26" xr3:uid="{00000000-0010-0000-0200-00001A000000}" name="Distance Factor"/>
    <tableColumn id="27" xr3:uid="{00000000-0010-0000-0200-00001B000000}" name="Time Factor"/>
    <tableColumn id="28" xr3:uid="{00000000-0010-0000-0200-00001C000000}" name="Equipment Savings ($)"/>
    <tableColumn id="29" xr3:uid="{00000000-0010-0000-0200-00001D000000}" name="Logistics Savings ($)"/>
    <tableColumn id="30" xr3:uid="{00000000-0010-0000-0200-00001E000000}" name="Contract Savings ($)"/>
    <tableColumn id="31" xr3:uid="{00000000-0010-0000-0200-00001F000000}" name="Bulk Material Savings ($)"/>
    <tableColumn id="32" xr3:uid="{00000000-0010-0000-0200-000020000000}" name="Estimated Potential Savings ($)"/>
    <tableColumn id="33" xr3:uid="{00000000-0010-0000-0200-000021000000}" name="Estimated Collaborative Cost ($)"/>
    <tableColumn id="34" xr3:uid="{00000000-0010-0000-0200-000022000000}" name="Savings %"/>
    <tableColumn id="35" xr3:uid="{00000000-0010-0000-0200-000023000000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"/>
  <sheetViews>
    <sheetView tabSelected="1" topLeftCell="I1" workbookViewId="0"/>
  </sheetViews>
  <sheetFormatPr baseColWidth="10" defaultColWidth="8.83203125" defaultRowHeight="15"/>
  <cols>
    <col min="1" max="1" width="12" customWidth="1"/>
    <col min="2" max="2" width="48" customWidth="1"/>
    <col min="3" max="3" width="14" customWidth="1"/>
    <col min="4" max="4" width="10" customWidth="1"/>
    <col min="5" max="5" width="14" customWidth="1"/>
    <col min="6" max="6" width="13" customWidth="1"/>
    <col min="7" max="7" width="14" customWidth="1"/>
    <col min="8" max="8" width="18" customWidth="1"/>
    <col min="9" max="9" width="16" customWidth="1"/>
    <col min="10" max="10" width="14" customWidth="1"/>
    <col min="11" max="11" width="15" customWidth="1"/>
    <col min="12" max="12" width="16" customWidth="1"/>
    <col min="13" max="13" width="15" customWidth="1"/>
    <col min="14" max="14" width="14" customWidth="1"/>
    <col min="15" max="15" width="18" customWidth="1"/>
    <col min="16" max="16" width="17" customWidth="1"/>
    <col min="17" max="17" width="16" customWidth="1"/>
    <col min="18" max="18" width="18" customWidth="1"/>
    <col min="19" max="19" width="14" customWidth="1"/>
    <col min="20" max="20" width="17" customWidth="1"/>
    <col min="21" max="21" width="16" customWidth="1"/>
    <col min="22" max="22" width="22" customWidth="1"/>
    <col min="23" max="23" width="17" customWidth="1"/>
    <col min="24" max="24" width="16" customWidth="1"/>
    <col min="25" max="25" width="20" customWidth="1"/>
    <col min="26" max="26" width="21" customWidth="1"/>
    <col min="27" max="27" width="19" customWidth="1"/>
  </cols>
  <sheetData>
    <row r="1" spans="1:27" ht="4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6">
      <c r="A2" s="2" t="s">
        <v>27</v>
      </c>
      <c r="B2" s="3" t="s">
        <v>28</v>
      </c>
      <c r="C2" s="4">
        <v>45778</v>
      </c>
      <c r="D2" s="3" t="s">
        <v>29</v>
      </c>
      <c r="E2" s="5">
        <v>22</v>
      </c>
      <c r="F2" s="5">
        <v>9</v>
      </c>
      <c r="G2" s="5">
        <v>6</v>
      </c>
      <c r="H2" s="5">
        <v>10</v>
      </c>
      <c r="I2" s="5">
        <v>4</v>
      </c>
      <c r="J2" s="5">
        <v>51</v>
      </c>
      <c r="K2" s="5">
        <v>8</v>
      </c>
      <c r="L2" s="5">
        <v>3</v>
      </c>
      <c r="M2" s="5">
        <v>3</v>
      </c>
      <c r="N2" s="5">
        <v>4</v>
      </c>
      <c r="O2" s="5">
        <v>72</v>
      </c>
      <c r="P2" s="6">
        <v>13.3</v>
      </c>
      <c r="Q2" s="5">
        <v>2</v>
      </c>
      <c r="R2" s="5">
        <v>3</v>
      </c>
      <c r="S2" s="5">
        <v>0</v>
      </c>
      <c r="T2" s="5">
        <v>233</v>
      </c>
      <c r="U2" s="7">
        <v>6666000</v>
      </c>
      <c r="V2" s="7">
        <v>4248000</v>
      </c>
      <c r="W2" s="7">
        <v>2415000</v>
      </c>
      <c r="X2" s="7">
        <v>476000</v>
      </c>
      <c r="Y2" s="7">
        <v>1092000</v>
      </c>
      <c r="Z2" s="7">
        <v>3323000</v>
      </c>
      <c r="AA2" s="8">
        <f t="shared" ref="AA2:AA33" si="0">SUM(U2:Z2)</f>
        <v>18220000</v>
      </c>
    </row>
    <row r="3" spans="1:27" ht="31">
      <c r="A3" s="2" t="s">
        <v>30</v>
      </c>
      <c r="B3" s="3" t="s">
        <v>31</v>
      </c>
      <c r="C3" s="4">
        <v>45809</v>
      </c>
      <c r="D3" s="3" t="s">
        <v>29</v>
      </c>
      <c r="E3" s="5">
        <v>12</v>
      </c>
      <c r="F3" s="5">
        <v>3</v>
      </c>
      <c r="G3" s="5">
        <v>5</v>
      </c>
      <c r="H3" s="5">
        <v>3</v>
      </c>
      <c r="I3" s="5">
        <v>2</v>
      </c>
      <c r="J3" s="5">
        <v>25</v>
      </c>
      <c r="K3" s="5">
        <v>6</v>
      </c>
      <c r="L3" s="5">
        <v>2</v>
      </c>
      <c r="M3" s="5">
        <v>1</v>
      </c>
      <c r="N3" s="5">
        <v>3</v>
      </c>
      <c r="O3" s="5">
        <v>42</v>
      </c>
      <c r="P3" s="6">
        <v>9.4</v>
      </c>
      <c r="Q3" s="5">
        <v>2</v>
      </c>
      <c r="R3" s="5">
        <v>2</v>
      </c>
      <c r="S3" s="5">
        <v>0</v>
      </c>
      <c r="T3" s="5">
        <v>173</v>
      </c>
      <c r="U3" s="7">
        <v>2790000</v>
      </c>
      <c r="V3" s="7">
        <v>1827000</v>
      </c>
      <c r="W3" s="7">
        <v>1775000</v>
      </c>
      <c r="X3" s="7">
        <v>451000</v>
      </c>
      <c r="Y3" s="7">
        <v>569000</v>
      </c>
      <c r="Z3" s="7">
        <v>1031000</v>
      </c>
      <c r="AA3" s="8">
        <f t="shared" si="0"/>
        <v>8443000</v>
      </c>
    </row>
    <row r="4" spans="1:27" ht="31">
      <c r="A4" s="2" t="s">
        <v>32</v>
      </c>
      <c r="B4" s="3" t="s">
        <v>33</v>
      </c>
      <c r="C4" s="4">
        <v>45809</v>
      </c>
      <c r="D4" s="3" t="s">
        <v>34</v>
      </c>
      <c r="E4" s="5">
        <v>18</v>
      </c>
      <c r="F4" s="5">
        <v>7</v>
      </c>
      <c r="G4" s="5">
        <v>8</v>
      </c>
      <c r="H4" s="5">
        <v>5</v>
      </c>
      <c r="I4" s="5">
        <v>3</v>
      </c>
      <c r="J4" s="5">
        <v>41</v>
      </c>
      <c r="K4" s="5">
        <v>3</v>
      </c>
      <c r="L4" s="5">
        <v>1</v>
      </c>
      <c r="M4" s="5">
        <v>0</v>
      </c>
      <c r="N4" s="5">
        <v>1</v>
      </c>
      <c r="O4" s="5">
        <v>33</v>
      </c>
      <c r="P4" s="6">
        <v>7</v>
      </c>
      <c r="Q4" s="5">
        <v>3</v>
      </c>
      <c r="R4" s="5">
        <v>1</v>
      </c>
      <c r="S4" s="5">
        <v>0</v>
      </c>
      <c r="T4" s="5">
        <v>105</v>
      </c>
      <c r="U4" s="7">
        <v>2859000</v>
      </c>
      <c r="V4" s="7">
        <v>390000</v>
      </c>
      <c r="W4" s="7">
        <v>1561000</v>
      </c>
      <c r="X4" s="7">
        <v>379000</v>
      </c>
      <c r="Y4" s="7">
        <v>418000</v>
      </c>
      <c r="Z4" s="7">
        <v>932000</v>
      </c>
      <c r="AA4" s="8">
        <f t="shared" si="0"/>
        <v>6539000</v>
      </c>
    </row>
    <row r="5" spans="1:27" ht="31">
      <c r="A5" s="2" t="s">
        <v>35</v>
      </c>
      <c r="B5" s="3" t="s">
        <v>36</v>
      </c>
      <c r="C5" s="4">
        <v>45809</v>
      </c>
      <c r="D5" s="3" t="s">
        <v>34</v>
      </c>
      <c r="E5" s="5">
        <v>9</v>
      </c>
      <c r="F5" s="5">
        <v>4</v>
      </c>
      <c r="G5" s="5">
        <v>6</v>
      </c>
      <c r="H5" s="5">
        <v>4</v>
      </c>
      <c r="I5" s="5">
        <v>1</v>
      </c>
      <c r="J5" s="5">
        <v>24</v>
      </c>
      <c r="K5" s="5">
        <v>4</v>
      </c>
      <c r="L5" s="5">
        <v>2</v>
      </c>
      <c r="M5" s="5">
        <v>1</v>
      </c>
      <c r="N5" s="5">
        <v>1</v>
      </c>
      <c r="O5" s="5">
        <v>8</v>
      </c>
      <c r="P5" s="6">
        <v>0.6</v>
      </c>
      <c r="Q5" s="5">
        <v>1</v>
      </c>
      <c r="R5" s="5">
        <v>3</v>
      </c>
      <c r="S5" s="5">
        <v>0</v>
      </c>
      <c r="T5" s="5">
        <v>91</v>
      </c>
      <c r="U5" s="7">
        <v>1251000</v>
      </c>
      <c r="V5" s="7">
        <v>691000</v>
      </c>
      <c r="W5" s="7">
        <v>565000</v>
      </c>
      <c r="X5" s="7">
        <v>208000</v>
      </c>
      <c r="Y5" s="7">
        <v>359000</v>
      </c>
      <c r="Z5" s="7">
        <v>1370000</v>
      </c>
      <c r="AA5" s="8">
        <f t="shared" si="0"/>
        <v>4444000</v>
      </c>
    </row>
    <row r="6" spans="1:27" ht="16">
      <c r="A6" s="2" t="s">
        <v>37</v>
      </c>
      <c r="B6" s="3" t="s">
        <v>38</v>
      </c>
      <c r="C6" s="4">
        <v>45809</v>
      </c>
      <c r="D6" s="3" t="s">
        <v>29</v>
      </c>
      <c r="E6" s="5">
        <v>13</v>
      </c>
      <c r="F6" s="5">
        <v>3</v>
      </c>
      <c r="G6" s="5">
        <v>5</v>
      </c>
      <c r="H6" s="5">
        <v>6</v>
      </c>
      <c r="I6" s="5">
        <v>3</v>
      </c>
      <c r="J6" s="5">
        <v>30</v>
      </c>
      <c r="K6" s="5">
        <v>6</v>
      </c>
      <c r="L6" s="5">
        <v>1</v>
      </c>
      <c r="M6" s="5">
        <v>2</v>
      </c>
      <c r="N6" s="5">
        <v>2</v>
      </c>
      <c r="O6" s="5">
        <v>45</v>
      </c>
      <c r="P6" s="6">
        <v>4.8</v>
      </c>
      <c r="Q6" s="5">
        <v>5</v>
      </c>
      <c r="R6" s="5">
        <v>1</v>
      </c>
      <c r="S6" s="5">
        <v>0</v>
      </c>
      <c r="T6" s="5">
        <v>126</v>
      </c>
      <c r="U6" s="7">
        <v>1966000</v>
      </c>
      <c r="V6" s="7">
        <v>1403000</v>
      </c>
      <c r="W6" s="7">
        <v>1716000</v>
      </c>
      <c r="X6" s="7">
        <v>442000</v>
      </c>
      <c r="Y6" s="7">
        <v>400000</v>
      </c>
      <c r="Z6" s="7">
        <v>784000</v>
      </c>
      <c r="AA6" s="8">
        <f t="shared" si="0"/>
        <v>6711000</v>
      </c>
    </row>
    <row r="7" spans="1:27" ht="31">
      <c r="A7" s="2" t="s">
        <v>39</v>
      </c>
      <c r="B7" s="3" t="s">
        <v>40</v>
      </c>
      <c r="C7" s="4">
        <v>45809</v>
      </c>
      <c r="D7" s="3" t="s">
        <v>41</v>
      </c>
      <c r="E7" s="5">
        <v>18</v>
      </c>
      <c r="F7" s="5">
        <v>5</v>
      </c>
      <c r="G7" s="5">
        <v>6</v>
      </c>
      <c r="H7" s="5">
        <v>7</v>
      </c>
      <c r="I7" s="5">
        <v>5</v>
      </c>
      <c r="J7" s="5">
        <v>41</v>
      </c>
      <c r="K7" s="5">
        <v>7</v>
      </c>
      <c r="L7" s="5">
        <v>2</v>
      </c>
      <c r="M7" s="5">
        <v>2</v>
      </c>
      <c r="N7" s="5">
        <v>2</v>
      </c>
      <c r="O7" s="5">
        <v>54</v>
      </c>
      <c r="P7" s="6">
        <v>12.5</v>
      </c>
      <c r="Q7" s="5">
        <v>1</v>
      </c>
      <c r="R7" s="5">
        <v>3</v>
      </c>
      <c r="S7" s="5">
        <v>0</v>
      </c>
      <c r="T7" s="5">
        <v>188</v>
      </c>
      <c r="U7" s="7">
        <v>5141000</v>
      </c>
      <c r="V7" s="7">
        <v>2389000</v>
      </c>
      <c r="W7" s="7">
        <v>2080000</v>
      </c>
      <c r="X7" s="7">
        <v>495000</v>
      </c>
      <c r="Y7" s="7">
        <v>354000</v>
      </c>
      <c r="Z7" s="7">
        <v>2047000</v>
      </c>
      <c r="AA7" s="8">
        <f t="shared" si="0"/>
        <v>12506000</v>
      </c>
    </row>
    <row r="8" spans="1:27" ht="31">
      <c r="A8" s="2" t="s">
        <v>42</v>
      </c>
      <c r="B8" s="3" t="s">
        <v>43</v>
      </c>
      <c r="C8" s="4">
        <v>45809</v>
      </c>
      <c r="D8" s="3" t="s">
        <v>29</v>
      </c>
      <c r="E8" s="5">
        <v>14</v>
      </c>
      <c r="F8" s="5">
        <v>4</v>
      </c>
      <c r="G8" s="5">
        <v>6</v>
      </c>
      <c r="H8" s="5">
        <v>6</v>
      </c>
      <c r="I8" s="5">
        <v>3</v>
      </c>
      <c r="J8" s="5">
        <v>33</v>
      </c>
      <c r="K8" s="5">
        <v>5</v>
      </c>
      <c r="L8" s="5">
        <v>3</v>
      </c>
      <c r="M8" s="5">
        <v>1</v>
      </c>
      <c r="N8" s="5">
        <v>3</v>
      </c>
      <c r="O8" s="5">
        <v>7</v>
      </c>
      <c r="P8" s="6">
        <v>0.8</v>
      </c>
      <c r="Q8" s="5">
        <v>1</v>
      </c>
      <c r="R8" s="5">
        <v>1</v>
      </c>
      <c r="S8" s="5">
        <v>0</v>
      </c>
      <c r="T8" s="5">
        <v>146</v>
      </c>
      <c r="U8" s="7">
        <v>2607000</v>
      </c>
      <c r="V8" s="7">
        <v>1578000</v>
      </c>
      <c r="W8" s="7">
        <v>394000</v>
      </c>
      <c r="X8" s="7">
        <v>333000</v>
      </c>
      <c r="Y8" s="7">
        <v>541000</v>
      </c>
      <c r="Z8" s="7">
        <v>2351000</v>
      </c>
      <c r="AA8" s="8">
        <f t="shared" si="0"/>
        <v>7804000</v>
      </c>
    </row>
    <row r="9" spans="1:27" ht="31">
      <c r="A9" s="2" t="s">
        <v>44</v>
      </c>
      <c r="B9" s="3" t="s">
        <v>45</v>
      </c>
      <c r="C9" s="4">
        <v>45809</v>
      </c>
      <c r="D9" s="3" t="s">
        <v>29</v>
      </c>
      <c r="E9" s="5">
        <v>8</v>
      </c>
      <c r="F9" s="5">
        <v>4</v>
      </c>
      <c r="G9" s="5">
        <v>5</v>
      </c>
      <c r="H9" s="5">
        <v>4</v>
      </c>
      <c r="I9" s="5">
        <v>1</v>
      </c>
      <c r="J9" s="5">
        <v>22</v>
      </c>
      <c r="K9" s="5">
        <v>3</v>
      </c>
      <c r="L9" s="5">
        <v>2</v>
      </c>
      <c r="M9" s="5">
        <v>1</v>
      </c>
      <c r="N9" s="5">
        <v>1</v>
      </c>
      <c r="O9" s="5">
        <v>4</v>
      </c>
      <c r="P9" s="6">
        <v>1.4</v>
      </c>
      <c r="Q9" s="5">
        <v>3</v>
      </c>
      <c r="R9" s="5">
        <v>3</v>
      </c>
      <c r="S9" s="5">
        <v>0</v>
      </c>
      <c r="T9" s="5">
        <v>113</v>
      </c>
      <c r="U9" s="7">
        <v>1315000</v>
      </c>
      <c r="V9" s="7">
        <v>783000</v>
      </c>
      <c r="W9" s="7">
        <v>1014000</v>
      </c>
      <c r="X9" s="7">
        <v>244000</v>
      </c>
      <c r="Y9" s="7">
        <v>216000</v>
      </c>
      <c r="Z9" s="7">
        <v>582000</v>
      </c>
      <c r="AA9" s="8">
        <f t="shared" si="0"/>
        <v>4154000</v>
      </c>
    </row>
    <row r="10" spans="1:27" ht="31">
      <c r="A10" s="2" t="s">
        <v>46</v>
      </c>
      <c r="B10" s="3" t="s">
        <v>47</v>
      </c>
      <c r="C10" s="4">
        <v>45809</v>
      </c>
      <c r="D10" s="3" t="s">
        <v>48</v>
      </c>
      <c r="E10" s="5">
        <v>18</v>
      </c>
      <c r="F10" s="5">
        <v>6</v>
      </c>
      <c r="G10" s="5">
        <v>5</v>
      </c>
      <c r="H10" s="5">
        <v>3</v>
      </c>
      <c r="I10" s="5">
        <v>5</v>
      </c>
      <c r="J10" s="5">
        <v>37</v>
      </c>
      <c r="K10" s="5">
        <v>7</v>
      </c>
      <c r="L10" s="5">
        <v>3</v>
      </c>
      <c r="M10" s="5">
        <v>1</v>
      </c>
      <c r="N10" s="5">
        <v>2</v>
      </c>
      <c r="O10" s="5">
        <v>51</v>
      </c>
      <c r="P10" s="6">
        <v>7.9</v>
      </c>
      <c r="Q10" s="5">
        <v>2</v>
      </c>
      <c r="R10" s="5">
        <v>5</v>
      </c>
      <c r="S10" s="5">
        <v>0</v>
      </c>
      <c r="T10" s="5">
        <v>148</v>
      </c>
      <c r="U10" s="7">
        <v>3488000</v>
      </c>
      <c r="V10" s="7">
        <v>1673000</v>
      </c>
      <c r="W10" s="7">
        <v>1917000</v>
      </c>
      <c r="X10" s="7">
        <v>273000</v>
      </c>
      <c r="Y10" s="7">
        <v>417000</v>
      </c>
      <c r="Z10" s="7">
        <v>2326000</v>
      </c>
      <c r="AA10" s="8">
        <f t="shared" si="0"/>
        <v>10094000</v>
      </c>
    </row>
    <row r="11" spans="1:27" ht="31">
      <c r="A11" s="2" t="s">
        <v>49</v>
      </c>
      <c r="B11" s="3" t="s">
        <v>50</v>
      </c>
      <c r="C11" s="4">
        <v>45809</v>
      </c>
      <c r="D11" s="3" t="s">
        <v>29</v>
      </c>
      <c r="E11" s="5">
        <v>14</v>
      </c>
      <c r="F11" s="5">
        <v>5</v>
      </c>
      <c r="G11" s="5">
        <v>7</v>
      </c>
      <c r="H11" s="5">
        <v>6</v>
      </c>
      <c r="I11" s="5">
        <v>4</v>
      </c>
      <c r="J11" s="5">
        <v>36</v>
      </c>
      <c r="K11" s="5">
        <v>6</v>
      </c>
      <c r="L11" s="5">
        <v>1</v>
      </c>
      <c r="M11" s="5">
        <v>2</v>
      </c>
      <c r="N11" s="5">
        <v>2</v>
      </c>
      <c r="O11" s="5">
        <v>11</v>
      </c>
      <c r="P11" s="6">
        <v>1.7</v>
      </c>
      <c r="Q11" s="5">
        <v>3</v>
      </c>
      <c r="R11" s="5">
        <v>4</v>
      </c>
      <c r="S11" s="5">
        <v>0</v>
      </c>
      <c r="T11" s="5">
        <v>139</v>
      </c>
      <c r="U11" s="7">
        <v>3107000</v>
      </c>
      <c r="V11" s="7">
        <v>1548000</v>
      </c>
      <c r="W11" s="7">
        <v>1166000</v>
      </c>
      <c r="X11" s="7">
        <v>482000</v>
      </c>
      <c r="Y11" s="7">
        <v>735000</v>
      </c>
      <c r="Z11" s="7">
        <v>1706000</v>
      </c>
      <c r="AA11" s="8">
        <f t="shared" si="0"/>
        <v>8744000</v>
      </c>
    </row>
    <row r="12" spans="1:27" ht="31">
      <c r="A12" s="2" t="s">
        <v>51</v>
      </c>
      <c r="B12" s="3" t="s">
        <v>52</v>
      </c>
      <c r="C12" s="4">
        <v>45992</v>
      </c>
      <c r="D12" s="3" t="s">
        <v>29</v>
      </c>
      <c r="E12" s="5">
        <v>15</v>
      </c>
      <c r="F12" s="5">
        <v>7</v>
      </c>
      <c r="G12" s="5">
        <v>5</v>
      </c>
      <c r="H12" s="5">
        <v>8</v>
      </c>
      <c r="I12" s="5">
        <v>3</v>
      </c>
      <c r="J12" s="5">
        <v>38</v>
      </c>
      <c r="K12" s="5">
        <v>6</v>
      </c>
      <c r="L12" s="5">
        <v>3</v>
      </c>
      <c r="M12" s="5">
        <v>1</v>
      </c>
      <c r="N12" s="5">
        <v>3</v>
      </c>
      <c r="O12" s="5">
        <v>36</v>
      </c>
      <c r="P12" s="6">
        <v>4.0999999999999996</v>
      </c>
      <c r="Q12" s="5">
        <v>6</v>
      </c>
      <c r="R12" s="5">
        <v>2</v>
      </c>
      <c r="S12" s="5">
        <v>0</v>
      </c>
      <c r="T12" s="5">
        <v>184</v>
      </c>
      <c r="U12" s="7">
        <v>4524000</v>
      </c>
      <c r="V12" s="7">
        <v>2110000</v>
      </c>
      <c r="W12" s="7">
        <v>1887000</v>
      </c>
      <c r="X12" s="7">
        <v>355000</v>
      </c>
      <c r="Y12" s="7">
        <v>643000</v>
      </c>
      <c r="Z12" s="7">
        <v>1497000</v>
      </c>
      <c r="AA12" s="8">
        <f t="shared" si="0"/>
        <v>11016000</v>
      </c>
    </row>
    <row r="13" spans="1:27" ht="16">
      <c r="A13" s="2" t="s">
        <v>53</v>
      </c>
      <c r="B13" s="3" t="s">
        <v>54</v>
      </c>
      <c r="C13" s="4">
        <v>46022</v>
      </c>
      <c r="D13" s="3" t="s">
        <v>29</v>
      </c>
      <c r="E13" s="5">
        <v>14</v>
      </c>
      <c r="F13" s="5">
        <v>4</v>
      </c>
      <c r="G13" s="5">
        <v>9</v>
      </c>
      <c r="H13" s="5">
        <v>4</v>
      </c>
      <c r="I13" s="5">
        <v>2</v>
      </c>
      <c r="J13" s="5">
        <v>33</v>
      </c>
      <c r="K13" s="5">
        <v>4</v>
      </c>
      <c r="L13" s="5">
        <v>2</v>
      </c>
      <c r="M13" s="5">
        <v>0</v>
      </c>
      <c r="N13" s="5">
        <v>1</v>
      </c>
      <c r="O13" s="5">
        <v>12</v>
      </c>
      <c r="P13" s="6">
        <v>1.9</v>
      </c>
      <c r="Q13" s="5">
        <v>6</v>
      </c>
      <c r="R13" s="5">
        <v>1</v>
      </c>
      <c r="S13" s="5">
        <v>0</v>
      </c>
      <c r="T13" s="5">
        <v>156</v>
      </c>
      <c r="U13" s="7">
        <v>3212000</v>
      </c>
      <c r="V13" s="7">
        <v>824000</v>
      </c>
      <c r="W13" s="7">
        <v>1462000</v>
      </c>
      <c r="X13" s="7">
        <v>233000</v>
      </c>
      <c r="Y13" s="7">
        <v>746000</v>
      </c>
      <c r="Z13" s="7">
        <v>1267000</v>
      </c>
      <c r="AA13" s="8">
        <f t="shared" si="0"/>
        <v>7744000</v>
      </c>
    </row>
    <row r="14" spans="1:27" ht="31">
      <c r="A14" s="2" t="s">
        <v>55</v>
      </c>
      <c r="B14" s="3" t="s">
        <v>56</v>
      </c>
      <c r="C14" s="4">
        <v>46022</v>
      </c>
      <c r="D14" s="3" t="s">
        <v>34</v>
      </c>
      <c r="E14" s="5">
        <v>17</v>
      </c>
      <c r="F14" s="5">
        <v>3</v>
      </c>
      <c r="G14" s="5">
        <v>9</v>
      </c>
      <c r="H14" s="5">
        <v>3</v>
      </c>
      <c r="I14" s="5">
        <v>3</v>
      </c>
      <c r="J14" s="5">
        <v>35</v>
      </c>
      <c r="K14" s="5">
        <v>3</v>
      </c>
      <c r="L14" s="5">
        <v>1</v>
      </c>
      <c r="M14" s="5">
        <v>2</v>
      </c>
      <c r="N14" s="5">
        <v>1</v>
      </c>
      <c r="O14" s="5">
        <v>46</v>
      </c>
      <c r="P14" s="6">
        <v>4.5999999999999996</v>
      </c>
      <c r="Q14" s="5">
        <v>5</v>
      </c>
      <c r="R14" s="5">
        <v>5</v>
      </c>
      <c r="S14" s="5">
        <v>0</v>
      </c>
      <c r="T14" s="5">
        <v>109</v>
      </c>
      <c r="U14" s="7">
        <v>2159000</v>
      </c>
      <c r="V14" s="7">
        <v>908000</v>
      </c>
      <c r="W14" s="7">
        <v>2076000</v>
      </c>
      <c r="X14" s="7">
        <v>396000</v>
      </c>
      <c r="Y14" s="7">
        <v>527000</v>
      </c>
      <c r="Z14" s="7">
        <v>1024000</v>
      </c>
      <c r="AA14" s="8">
        <f t="shared" si="0"/>
        <v>7090000</v>
      </c>
    </row>
    <row r="15" spans="1:27" ht="31">
      <c r="A15" s="2" t="s">
        <v>57</v>
      </c>
      <c r="B15" s="3" t="s">
        <v>58</v>
      </c>
      <c r="C15" s="4">
        <v>46022</v>
      </c>
      <c r="D15" s="3" t="s">
        <v>48</v>
      </c>
      <c r="E15" s="5">
        <v>7</v>
      </c>
      <c r="F15" s="5">
        <v>2</v>
      </c>
      <c r="G15" s="5">
        <v>3</v>
      </c>
      <c r="H15" s="5">
        <v>4</v>
      </c>
      <c r="I15" s="5">
        <v>1</v>
      </c>
      <c r="J15" s="5">
        <v>17</v>
      </c>
      <c r="K15" s="5">
        <v>3</v>
      </c>
      <c r="L15" s="5">
        <v>1</v>
      </c>
      <c r="M15" s="5">
        <v>1</v>
      </c>
      <c r="N15" s="5">
        <v>1</v>
      </c>
      <c r="O15" s="5">
        <v>6</v>
      </c>
      <c r="P15" s="6">
        <v>1.1000000000000001</v>
      </c>
      <c r="Q15" s="5">
        <v>1</v>
      </c>
      <c r="R15" s="5">
        <v>3</v>
      </c>
      <c r="S15" s="5">
        <v>0</v>
      </c>
      <c r="T15" s="5">
        <v>118</v>
      </c>
      <c r="U15" s="7">
        <v>1240000</v>
      </c>
      <c r="V15" s="7">
        <v>711000</v>
      </c>
      <c r="W15" s="7">
        <v>616000</v>
      </c>
      <c r="X15" s="7">
        <v>172000</v>
      </c>
      <c r="Y15" s="7">
        <v>378000</v>
      </c>
      <c r="Z15" s="7">
        <v>1418000</v>
      </c>
      <c r="AA15" s="8">
        <f t="shared" si="0"/>
        <v>4535000</v>
      </c>
    </row>
    <row r="16" spans="1:27" ht="31">
      <c r="A16" s="2" t="s">
        <v>59</v>
      </c>
      <c r="B16" s="3" t="s">
        <v>60</v>
      </c>
      <c r="C16" s="4">
        <v>46174</v>
      </c>
      <c r="D16" s="3" t="s">
        <v>29</v>
      </c>
      <c r="E16" s="5">
        <v>13</v>
      </c>
      <c r="F16" s="5">
        <v>3</v>
      </c>
      <c r="G16" s="5">
        <v>7</v>
      </c>
      <c r="H16" s="5">
        <v>7</v>
      </c>
      <c r="I16" s="5">
        <v>5</v>
      </c>
      <c r="J16" s="5">
        <v>35</v>
      </c>
      <c r="K16" s="5">
        <v>6</v>
      </c>
      <c r="L16" s="5">
        <v>1</v>
      </c>
      <c r="M16" s="5">
        <v>1</v>
      </c>
      <c r="N16" s="5">
        <v>1</v>
      </c>
      <c r="O16" s="5">
        <v>47</v>
      </c>
      <c r="P16" s="6">
        <v>3.8</v>
      </c>
      <c r="Q16" s="5">
        <v>6</v>
      </c>
      <c r="R16" s="5">
        <v>5</v>
      </c>
      <c r="S16" s="5">
        <v>0</v>
      </c>
      <c r="T16" s="5">
        <v>104</v>
      </c>
      <c r="U16" s="7">
        <v>2180000</v>
      </c>
      <c r="V16" s="7">
        <v>832000</v>
      </c>
      <c r="W16" s="7">
        <v>2172000</v>
      </c>
      <c r="X16" s="7">
        <v>384000</v>
      </c>
      <c r="Y16" s="7">
        <v>739000</v>
      </c>
      <c r="Z16" s="7">
        <v>2013000</v>
      </c>
      <c r="AA16" s="8">
        <f t="shared" si="0"/>
        <v>8320000</v>
      </c>
    </row>
    <row r="17" spans="1:27" ht="16">
      <c r="A17" s="2" t="s">
        <v>61</v>
      </c>
      <c r="B17" s="3" t="s">
        <v>62</v>
      </c>
      <c r="C17" s="4">
        <v>46174</v>
      </c>
      <c r="D17" s="3" t="s">
        <v>29</v>
      </c>
      <c r="E17" s="5">
        <v>10</v>
      </c>
      <c r="F17" s="5">
        <v>2</v>
      </c>
      <c r="G17" s="5">
        <v>5</v>
      </c>
      <c r="H17" s="5">
        <v>4</v>
      </c>
      <c r="I17" s="5">
        <v>3</v>
      </c>
      <c r="J17" s="5">
        <v>24</v>
      </c>
      <c r="K17" s="5">
        <v>2</v>
      </c>
      <c r="L17" s="5">
        <v>1</v>
      </c>
      <c r="M17" s="5">
        <v>1</v>
      </c>
      <c r="N17" s="5">
        <v>1</v>
      </c>
      <c r="O17" s="5">
        <v>8</v>
      </c>
      <c r="P17" s="6">
        <v>1.6</v>
      </c>
      <c r="Q17" s="5">
        <v>1</v>
      </c>
      <c r="R17" s="5">
        <v>3</v>
      </c>
      <c r="S17" s="5">
        <v>0</v>
      </c>
      <c r="T17" s="5">
        <v>68</v>
      </c>
      <c r="U17" s="7">
        <v>1095000</v>
      </c>
      <c r="V17" s="7">
        <v>365000</v>
      </c>
      <c r="W17" s="7">
        <v>680000</v>
      </c>
      <c r="X17" s="7">
        <v>163000</v>
      </c>
      <c r="Y17" s="7">
        <v>200000</v>
      </c>
      <c r="Z17" s="7">
        <v>915000</v>
      </c>
      <c r="AA17" s="8">
        <f t="shared" si="0"/>
        <v>3418000</v>
      </c>
    </row>
    <row r="18" spans="1:27" ht="31">
      <c r="A18" s="2" t="s">
        <v>63</v>
      </c>
      <c r="B18" s="3" t="s">
        <v>64</v>
      </c>
      <c r="C18" s="4">
        <v>46174</v>
      </c>
      <c r="D18" s="3" t="s">
        <v>29</v>
      </c>
      <c r="E18" s="5">
        <v>13</v>
      </c>
      <c r="F18" s="5">
        <v>5</v>
      </c>
      <c r="G18" s="5">
        <v>5</v>
      </c>
      <c r="H18" s="5">
        <v>7</v>
      </c>
      <c r="I18" s="5">
        <v>4</v>
      </c>
      <c r="J18" s="5">
        <v>34</v>
      </c>
      <c r="K18" s="5">
        <v>3</v>
      </c>
      <c r="L18" s="5">
        <v>1</v>
      </c>
      <c r="M18" s="5">
        <v>2</v>
      </c>
      <c r="N18" s="5">
        <v>2</v>
      </c>
      <c r="O18" s="5">
        <v>11</v>
      </c>
      <c r="P18" s="6">
        <v>2.4</v>
      </c>
      <c r="Q18" s="5">
        <v>1</v>
      </c>
      <c r="R18" s="5">
        <v>3</v>
      </c>
      <c r="S18" s="5">
        <v>0</v>
      </c>
      <c r="T18" s="5">
        <v>169</v>
      </c>
      <c r="U18" s="7">
        <v>3419000</v>
      </c>
      <c r="V18" s="7">
        <v>1548000</v>
      </c>
      <c r="W18" s="7">
        <v>781000</v>
      </c>
      <c r="X18" s="7">
        <v>233000</v>
      </c>
      <c r="Y18" s="7">
        <v>710000</v>
      </c>
      <c r="Z18" s="7">
        <v>2150000</v>
      </c>
      <c r="AA18" s="8">
        <f t="shared" si="0"/>
        <v>8841000</v>
      </c>
    </row>
    <row r="19" spans="1:27" ht="31">
      <c r="A19" s="2" t="s">
        <v>65</v>
      </c>
      <c r="B19" s="3" t="s">
        <v>66</v>
      </c>
      <c r="C19" s="4">
        <v>46174</v>
      </c>
      <c r="D19" s="3" t="s">
        <v>29</v>
      </c>
      <c r="E19" s="5">
        <v>12</v>
      </c>
      <c r="F19" s="5">
        <v>3</v>
      </c>
      <c r="G19" s="5">
        <v>9</v>
      </c>
      <c r="H19" s="5">
        <v>3</v>
      </c>
      <c r="I19" s="5">
        <v>2</v>
      </c>
      <c r="J19" s="5">
        <v>29</v>
      </c>
      <c r="K19" s="5">
        <v>5</v>
      </c>
      <c r="L19" s="5">
        <v>3</v>
      </c>
      <c r="M19" s="5">
        <v>1</v>
      </c>
      <c r="N19" s="5">
        <v>1</v>
      </c>
      <c r="O19" s="5">
        <v>53</v>
      </c>
      <c r="P19" s="6">
        <v>8</v>
      </c>
      <c r="Q19" s="5">
        <v>2</v>
      </c>
      <c r="R19" s="5">
        <v>5</v>
      </c>
      <c r="S19" s="5">
        <v>0</v>
      </c>
      <c r="T19" s="5">
        <v>170</v>
      </c>
      <c r="U19" s="7">
        <v>2919000</v>
      </c>
      <c r="V19" s="7">
        <v>1557000</v>
      </c>
      <c r="W19" s="7">
        <v>1935000</v>
      </c>
      <c r="X19" s="7">
        <v>436000</v>
      </c>
      <c r="Y19" s="7">
        <v>750000</v>
      </c>
      <c r="Z19" s="7">
        <v>2151000</v>
      </c>
      <c r="AA19" s="8">
        <f t="shared" si="0"/>
        <v>9748000</v>
      </c>
    </row>
    <row r="20" spans="1:27" ht="16">
      <c r="A20" s="2" t="s">
        <v>67</v>
      </c>
      <c r="B20" s="3" t="s">
        <v>68</v>
      </c>
      <c r="C20" s="4">
        <v>46174</v>
      </c>
      <c r="D20" s="3" t="s">
        <v>29</v>
      </c>
      <c r="E20" s="5">
        <v>21</v>
      </c>
      <c r="F20" s="5">
        <v>3</v>
      </c>
      <c r="G20" s="5">
        <v>6</v>
      </c>
      <c r="H20" s="5">
        <v>5</v>
      </c>
      <c r="I20" s="5">
        <v>5</v>
      </c>
      <c r="J20" s="5">
        <v>40</v>
      </c>
      <c r="K20" s="5">
        <v>3</v>
      </c>
      <c r="L20" s="5">
        <v>3</v>
      </c>
      <c r="M20" s="5">
        <v>0</v>
      </c>
      <c r="N20" s="5">
        <v>1</v>
      </c>
      <c r="O20" s="5">
        <v>48</v>
      </c>
      <c r="P20" s="6">
        <v>7.6</v>
      </c>
      <c r="Q20" s="5">
        <v>3</v>
      </c>
      <c r="R20" s="5">
        <v>5</v>
      </c>
      <c r="S20" s="5">
        <v>0</v>
      </c>
      <c r="T20" s="5">
        <v>121</v>
      </c>
      <c r="U20" s="7">
        <v>3286000</v>
      </c>
      <c r="V20" s="7">
        <v>669000</v>
      </c>
      <c r="W20" s="7">
        <v>2058000</v>
      </c>
      <c r="X20" s="7">
        <v>433000</v>
      </c>
      <c r="Y20" s="7">
        <v>472000</v>
      </c>
      <c r="Z20" s="7">
        <v>1921000</v>
      </c>
      <c r="AA20" s="8">
        <f t="shared" si="0"/>
        <v>8839000</v>
      </c>
    </row>
    <row r="21" spans="1:27" ht="31">
      <c r="A21" s="2" t="s">
        <v>69</v>
      </c>
      <c r="B21" s="3" t="s">
        <v>70</v>
      </c>
      <c r="C21" s="4">
        <v>46174</v>
      </c>
      <c r="D21" s="3" t="s">
        <v>29</v>
      </c>
      <c r="E21" s="5">
        <v>13</v>
      </c>
      <c r="F21" s="5">
        <v>5</v>
      </c>
      <c r="G21" s="5">
        <v>4</v>
      </c>
      <c r="H21" s="5">
        <v>4</v>
      </c>
      <c r="I21" s="5">
        <v>4</v>
      </c>
      <c r="J21" s="5">
        <v>30</v>
      </c>
      <c r="K21" s="5">
        <v>6</v>
      </c>
      <c r="L21" s="5">
        <v>1</v>
      </c>
      <c r="M21" s="5">
        <v>1</v>
      </c>
      <c r="N21" s="5">
        <v>1</v>
      </c>
      <c r="O21" s="5">
        <v>48</v>
      </c>
      <c r="P21" s="6">
        <v>6.3</v>
      </c>
      <c r="Q21" s="5">
        <v>2</v>
      </c>
      <c r="R21" s="5">
        <v>1</v>
      </c>
      <c r="S21" s="5">
        <v>0</v>
      </c>
      <c r="T21" s="5">
        <v>152</v>
      </c>
      <c r="U21" s="7">
        <v>2440000</v>
      </c>
      <c r="V21" s="7">
        <v>1216000</v>
      </c>
      <c r="W21" s="7">
        <v>1343000</v>
      </c>
      <c r="X21" s="7">
        <v>255000</v>
      </c>
      <c r="Y21" s="7">
        <v>453000</v>
      </c>
      <c r="Z21" s="7">
        <v>692000</v>
      </c>
      <c r="AA21" s="8">
        <f t="shared" si="0"/>
        <v>6399000</v>
      </c>
    </row>
    <row r="22" spans="1:27" ht="16">
      <c r="A22" s="2" t="s">
        <v>71</v>
      </c>
      <c r="B22" s="3" t="s">
        <v>72</v>
      </c>
      <c r="C22" s="4">
        <v>46174</v>
      </c>
      <c r="D22" s="3" t="s">
        <v>34</v>
      </c>
      <c r="E22" s="5">
        <v>19</v>
      </c>
      <c r="F22" s="5">
        <v>7</v>
      </c>
      <c r="G22" s="5">
        <v>7</v>
      </c>
      <c r="H22" s="5">
        <v>10</v>
      </c>
      <c r="I22" s="5">
        <v>6</v>
      </c>
      <c r="J22" s="5">
        <v>49</v>
      </c>
      <c r="K22" s="5">
        <v>6</v>
      </c>
      <c r="L22" s="5">
        <v>3</v>
      </c>
      <c r="M22" s="5">
        <v>1</v>
      </c>
      <c r="N22" s="5">
        <v>4</v>
      </c>
      <c r="O22" s="5">
        <v>30</v>
      </c>
      <c r="P22" s="6">
        <v>14.7</v>
      </c>
      <c r="Q22" s="5">
        <v>7</v>
      </c>
      <c r="R22" s="5">
        <v>3</v>
      </c>
      <c r="S22" s="5">
        <v>0</v>
      </c>
      <c r="T22" s="5">
        <v>182</v>
      </c>
      <c r="U22" s="7">
        <v>4905000</v>
      </c>
      <c r="V22" s="7">
        <v>2237000</v>
      </c>
      <c r="W22" s="7">
        <v>3366000</v>
      </c>
      <c r="X22" s="7">
        <v>382000</v>
      </c>
      <c r="Y22" s="7">
        <v>893000</v>
      </c>
      <c r="Z22" s="7">
        <v>2049000</v>
      </c>
      <c r="AA22" s="8">
        <f t="shared" si="0"/>
        <v>13832000</v>
      </c>
    </row>
    <row r="23" spans="1:27" ht="16">
      <c r="A23" s="2" t="s">
        <v>73</v>
      </c>
      <c r="B23" s="3" t="s">
        <v>74</v>
      </c>
      <c r="C23" s="4">
        <v>46174</v>
      </c>
      <c r="D23" s="3" t="s">
        <v>34</v>
      </c>
      <c r="E23" s="5">
        <v>16</v>
      </c>
      <c r="F23" s="5">
        <v>4</v>
      </c>
      <c r="G23" s="5">
        <v>5</v>
      </c>
      <c r="H23" s="5">
        <v>5</v>
      </c>
      <c r="I23" s="5">
        <v>3</v>
      </c>
      <c r="J23" s="5">
        <v>33</v>
      </c>
      <c r="K23" s="5">
        <v>5</v>
      </c>
      <c r="L23" s="5">
        <v>1</v>
      </c>
      <c r="M23" s="5">
        <v>0</v>
      </c>
      <c r="N23" s="5">
        <v>1</v>
      </c>
      <c r="O23" s="5">
        <v>50</v>
      </c>
      <c r="P23" s="6">
        <v>9.1999999999999993</v>
      </c>
      <c r="Q23" s="5">
        <v>1</v>
      </c>
      <c r="R23" s="5">
        <v>1</v>
      </c>
      <c r="S23" s="5">
        <v>0</v>
      </c>
      <c r="T23" s="5">
        <v>99</v>
      </c>
      <c r="U23" s="7">
        <v>2124000</v>
      </c>
      <c r="V23" s="7">
        <v>498000</v>
      </c>
      <c r="W23" s="7">
        <v>1498000</v>
      </c>
      <c r="X23" s="7">
        <v>457000</v>
      </c>
      <c r="Y23" s="7">
        <v>718000</v>
      </c>
      <c r="Z23" s="7">
        <v>1490000</v>
      </c>
      <c r="AA23" s="8">
        <f t="shared" si="0"/>
        <v>6785000</v>
      </c>
    </row>
    <row r="24" spans="1:27" ht="31">
      <c r="A24" s="2" t="s">
        <v>75</v>
      </c>
      <c r="B24" s="3" t="s">
        <v>76</v>
      </c>
      <c r="C24" s="4">
        <v>46174</v>
      </c>
      <c r="D24" s="3" t="s">
        <v>34</v>
      </c>
      <c r="E24" s="5">
        <v>13</v>
      </c>
      <c r="F24" s="5">
        <v>4</v>
      </c>
      <c r="G24" s="5">
        <v>6</v>
      </c>
      <c r="H24" s="5">
        <v>6</v>
      </c>
      <c r="I24" s="5">
        <v>3</v>
      </c>
      <c r="J24" s="5">
        <v>32</v>
      </c>
      <c r="K24" s="5">
        <v>3</v>
      </c>
      <c r="L24" s="5">
        <v>3</v>
      </c>
      <c r="M24" s="5">
        <v>2</v>
      </c>
      <c r="N24" s="5">
        <v>2</v>
      </c>
      <c r="O24" s="5">
        <v>3</v>
      </c>
      <c r="P24" s="6">
        <v>0.6</v>
      </c>
      <c r="Q24" s="5">
        <v>5</v>
      </c>
      <c r="R24" s="5">
        <v>3</v>
      </c>
      <c r="S24" s="5">
        <v>0</v>
      </c>
      <c r="T24" s="5">
        <v>111</v>
      </c>
      <c r="U24" s="7">
        <v>2231000</v>
      </c>
      <c r="V24" s="7">
        <v>1218000</v>
      </c>
      <c r="W24" s="7">
        <v>1289000</v>
      </c>
      <c r="X24" s="7">
        <v>320000</v>
      </c>
      <c r="Y24" s="7">
        <v>610000</v>
      </c>
      <c r="Z24" s="7">
        <v>1955000</v>
      </c>
      <c r="AA24" s="8">
        <f t="shared" si="0"/>
        <v>7623000</v>
      </c>
    </row>
    <row r="25" spans="1:27" ht="16">
      <c r="A25" s="2" t="s">
        <v>77</v>
      </c>
      <c r="B25" s="3" t="s">
        <v>78</v>
      </c>
      <c r="C25" s="4">
        <v>46174</v>
      </c>
      <c r="D25" s="3" t="s">
        <v>29</v>
      </c>
      <c r="E25" s="5">
        <v>9</v>
      </c>
      <c r="F25" s="5">
        <v>4</v>
      </c>
      <c r="G25" s="5">
        <v>6</v>
      </c>
      <c r="H25" s="5">
        <v>2</v>
      </c>
      <c r="I25" s="5">
        <v>2</v>
      </c>
      <c r="J25" s="5">
        <v>23</v>
      </c>
      <c r="K25" s="5">
        <v>4</v>
      </c>
      <c r="L25" s="5">
        <v>1</v>
      </c>
      <c r="M25" s="5">
        <v>1</v>
      </c>
      <c r="N25" s="5">
        <v>1</v>
      </c>
      <c r="O25" s="5">
        <v>9</v>
      </c>
      <c r="P25" s="6">
        <v>1.4</v>
      </c>
      <c r="Q25" s="5">
        <v>1</v>
      </c>
      <c r="R25" s="5">
        <v>1</v>
      </c>
      <c r="S25" s="5">
        <v>0</v>
      </c>
      <c r="T25" s="5">
        <v>115</v>
      </c>
      <c r="U25" s="7">
        <v>1386000</v>
      </c>
      <c r="V25" s="7">
        <v>768000</v>
      </c>
      <c r="W25" s="7">
        <v>470000</v>
      </c>
      <c r="X25" s="7">
        <v>196000</v>
      </c>
      <c r="Y25" s="7">
        <v>402000</v>
      </c>
      <c r="Z25" s="7">
        <v>881000</v>
      </c>
      <c r="AA25" s="8">
        <f t="shared" si="0"/>
        <v>4103000</v>
      </c>
    </row>
    <row r="26" spans="1:27" ht="31">
      <c r="A26" s="2" t="s">
        <v>79</v>
      </c>
      <c r="B26" s="3" t="s">
        <v>80</v>
      </c>
      <c r="C26" s="4">
        <v>46174</v>
      </c>
      <c r="D26" s="3" t="s">
        <v>41</v>
      </c>
      <c r="E26" s="5">
        <v>16</v>
      </c>
      <c r="F26" s="5">
        <v>6</v>
      </c>
      <c r="G26" s="5">
        <v>6</v>
      </c>
      <c r="H26" s="5">
        <v>4</v>
      </c>
      <c r="I26" s="5">
        <v>2</v>
      </c>
      <c r="J26" s="5">
        <v>34</v>
      </c>
      <c r="K26" s="5">
        <v>5</v>
      </c>
      <c r="L26" s="5">
        <v>1</v>
      </c>
      <c r="M26" s="5">
        <v>2</v>
      </c>
      <c r="N26" s="5">
        <v>3</v>
      </c>
      <c r="O26" s="5">
        <v>10</v>
      </c>
      <c r="P26" s="6">
        <v>2.2999999999999998</v>
      </c>
      <c r="Q26" s="5">
        <v>3</v>
      </c>
      <c r="R26" s="5">
        <v>2</v>
      </c>
      <c r="S26" s="5">
        <v>0</v>
      </c>
      <c r="T26" s="5">
        <v>157</v>
      </c>
      <c r="U26" s="7">
        <v>3267000</v>
      </c>
      <c r="V26" s="7">
        <v>1774000</v>
      </c>
      <c r="W26" s="7">
        <v>1042000</v>
      </c>
      <c r="X26" s="7">
        <v>261000</v>
      </c>
      <c r="Y26" s="7">
        <v>694000</v>
      </c>
      <c r="Z26" s="7">
        <v>2460000</v>
      </c>
      <c r="AA26" s="8">
        <f t="shared" si="0"/>
        <v>9498000</v>
      </c>
    </row>
    <row r="27" spans="1:27" ht="16">
      <c r="A27" s="2" t="s">
        <v>81</v>
      </c>
      <c r="B27" s="3" t="s">
        <v>82</v>
      </c>
      <c r="C27" s="4">
        <v>46174</v>
      </c>
      <c r="D27" s="3" t="s">
        <v>41</v>
      </c>
      <c r="E27" s="5">
        <v>14</v>
      </c>
      <c r="F27" s="5">
        <v>5</v>
      </c>
      <c r="G27" s="5">
        <v>4</v>
      </c>
      <c r="H27" s="5">
        <v>6</v>
      </c>
      <c r="I27" s="5">
        <v>4</v>
      </c>
      <c r="J27" s="5">
        <v>33</v>
      </c>
      <c r="K27" s="5">
        <v>3</v>
      </c>
      <c r="L27" s="5">
        <v>1</v>
      </c>
      <c r="M27" s="5">
        <v>1</v>
      </c>
      <c r="N27" s="5">
        <v>2</v>
      </c>
      <c r="O27" s="5">
        <v>19</v>
      </c>
      <c r="P27" s="6">
        <v>4.4000000000000004</v>
      </c>
      <c r="Q27" s="5">
        <v>2</v>
      </c>
      <c r="R27" s="5">
        <v>3</v>
      </c>
      <c r="S27" s="5">
        <v>0</v>
      </c>
      <c r="T27" s="5">
        <v>100</v>
      </c>
      <c r="U27" s="7">
        <v>1878000</v>
      </c>
      <c r="V27" s="7">
        <v>685000</v>
      </c>
      <c r="W27" s="7">
        <v>1222000</v>
      </c>
      <c r="X27" s="7">
        <v>459000</v>
      </c>
      <c r="Y27" s="7">
        <v>325000</v>
      </c>
      <c r="Z27" s="7">
        <v>1768000</v>
      </c>
      <c r="AA27" s="8">
        <f t="shared" si="0"/>
        <v>6337000</v>
      </c>
    </row>
    <row r="28" spans="1:27" ht="31">
      <c r="A28" s="2" t="s">
        <v>83</v>
      </c>
      <c r="B28" s="3" t="s">
        <v>84</v>
      </c>
      <c r="C28" s="4">
        <v>46174</v>
      </c>
      <c r="D28" s="3" t="s">
        <v>41</v>
      </c>
      <c r="E28" s="5">
        <v>12</v>
      </c>
      <c r="F28" s="5">
        <v>6</v>
      </c>
      <c r="G28" s="5">
        <v>6</v>
      </c>
      <c r="H28" s="5">
        <v>3</v>
      </c>
      <c r="I28" s="5">
        <v>4</v>
      </c>
      <c r="J28" s="5">
        <v>31</v>
      </c>
      <c r="K28" s="5">
        <v>3</v>
      </c>
      <c r="L28" s="5">
        <v>3</v>
      </c>
      <c r="M28" s="5">
        <v>2</v>
      </c>
      <c r="N28" s="5">
        <v>2</v>
      </c>
      <c r="O28" s="5">
        <v>30</v>
      </c>
      <c r="P28" s="6">
        <v>7.8</v>
      </c>
      <c r="Q28" s="5">
        <v>4</v>
      </c>
      <c r="R28" s="5">
        <v>4</v>
      </c>
      <c r="S28" s="5">
        <v>0</v>
      </c>
      <c r="T28" s="5">
        <v>106</v>
      </c>
      <c r="U28" s="7">
        <v>2182000</v>
      </c>
      <c r="V28" s="7">
        <v>1163000</v>
      </c>
      <c r="W28" s="7">
        <v>2113000</v>
      </c>
      <c r="X28" s="7">
        <v>352000</v>
      </c>
      <c r="Y28" s="7">
        <v>389000</v>
      </c>
      <c r="Z28" s="7">
        <v>2189000</v>
      </c>
      <c r="AA28" s="8">
        <f t="shared" si="0"/>
        <v>8388000</v>
      </c>
    </row>
    <row r="29" spans="1:27" ht="16">
      <c r="A29" s="2" t="s">
        <v>85</v>
      </c>
      <c r="B29" s="3" t="s">
        <v>86</v>
      </c>
      <c r="C29" s="4">
        <v>46174</v>
      </c>
      <c r="D29" s="3" t="s">
        <v>29</v>
      </c>
      <c r="E29" s="5">
        <v>9</v>
      </c>
      <c r="F29" s="5">
        <v>2</v>
      </c>
      <c r="G29" s="5">
        <v>6</v>
      </c>
      <c r="H29" s="5">
        <v>5</v>
      </c>
      <c r="I29" s="5">
        <v>2</v>
      </c>
      <c r="J29" s="5">
        <v>24</v>
      </c>
      <c r="K29" s="5">
        <v>2</v>
      </c>
      <c r="L29" s="5">
        <v>2</v>
      </c>
      <c r="M29" s="5">
        <v>1</v>
      </c>
      <c r="N29" s="5">
        <v>1</v>
      </c>
      <c r="O29" s="5">
        <v>9</v>
      </c>
      <c r="P29" s="6">
        <v>1.4</v>
      </c>
      <c r="Q29" s="5">
        <v>1</v>
      </c>
      <c r="R29" s="5">
        <v>2</v>
      </c>
      <c r="S29" s="5">
        <v>0</v>
      </c>
      <c r="T29" s="5">
        <v>80</v>
      </c>
      <c r="U29" s="7">
        <v>1146000</v>
      </c>
      <c r="V29" s="7">
        <v>502000</v>
      </c>
      <c r="W29" s="7">
        <v>565000</v>
      </c>
      <c r="X29" s="7">
        <v>317000</v>
      </c>
      <c r="Y29" s="7">
        <v>538000</v>
      </c>
      <c r="Z29" s="7">
        <v>710000</v>
      </c>
      <c r="AA29" s="8">
        <f t="shared" si="0"/>
        <v>3778000</v>
      </c>
    </row>
    <row r="30" spans="1:27" ht="31">
      <c r="A30" s="2" t="s">
        <v>87</v>
      </c>
      <c r="B30" s="3" t="s">
        <v>88</v>
      </c>
      <c r="C30" s="4">
        <v>46174</v>
      </c>
      <c r="D30" s="3" t="s">
        <v>48</v>
      </c>
      <c r="E30" s="5">
        <v>21</v>
      </c>
      <c r="F30" s="5">
        <v>3</v>
      </c>
      <c r="G30" s="5">
        <v>9</v>
      </c>
      <c r="H30" s="5">
        <v>5</v>
      </c>
      <c r="I30" s="5">
        <v>2</v>
      </c>
      <c r="J30" s="5">
        <v>40</v>
      </c>
      <c r="K30" s="5">
        <v>3</v>
      </c>
      <c r="L30" s="5">
        <v>2</v>
      </c>
      <c r="M30" s="5">
        <v>2</v>
      </c>
      <c r="N30" s="5">
        <v>2</v>
      </c>
      <c r="O30" s="5">
        <v>26</v>
      </c>
      <c r="P30" s="6">
        <v>7</v>
      </c>
      <c r="Q30" s="5">
        <v>1</v>
      </c>
      <c r="R30" s="5">
        <v>5</v>
      </c>
      <c r="S30" s="5">
        <v>0</v>
      </c>
      <c r="T30" s="5">
        <v>107</v>
      </c>
      <c r="U30" s="7">
        <v>2748000</v>
      </c>
      <c r="V30" s="7">
        <v>1077000</v>
      </c>
      <c r="W30" s="7">
        <v>1548000</v>
      </c>
      <c r="X30" s="7">
        <v>536000</v>
      </c>
      <c r="Y30" s="7">
        <v>844000</v>
      </c>
      <c r="Z30" s="7">
        <v>1300000</v>
      </c>
      <c r="AA30" s="8">
        <f t="shared" si="0"/>
        <v>8053000</v>
      </c>
    </row>
    <row r="31" spans="1:27" ht="16">
      <c r="A31" s="2" t="s">
        <v>89</v>
      </c>
      <c r="B31" s="3" t="s">
        <v>90</v>
      </c>
      <c r="C31" s="4">
        <v>46174</v>
      </c>
      <c r="D31" s="3" t="s">
        <v>48</v>
      </c>
      <c r="E31" s="5">
        <v>22</v>
      </c>
      <c r="F31" s="5">
        <v>8</v>
      </c>
      <c r="G31" s="5">
        <v>11</v>
      </c>
      <c r="H31" s="5">
        <v>10</v>
      </c>
      <c r="I31" s="5">
        <v>6</v>
      </c>
      <c r="J31" s="5">
        <v>57</v>
      </c>
      <c r="K31" s="5">
        <v>5</v>
      </c>
      <c r="L31" s="5">
        <v>3</v>
      </c>
      <c r="M31" s="5">
        <v>1</v>
      </c>
      <c r="N31" s="5">
        <v>3</v>
      </c>
      <c r="O31" s="5">
        <v>13</v>
      </c>
      <c r="P31" s="6">
        <v>2.1</v>
      </c>
      <c r="Q31" s="5">
        <v>1</v>
      </c>
      <c r="R31" s="5">
        <v>3</v>
      </c>
      <c r="S31" s="5">
        <v>5</v>
      </c>
      <c r="T31" s="5">
        <v>210</v>
      </c>
      <c r="U31" s="7">
        <v>7601000</v>
      </c>
      <c r="V31" s="7">
        <v>2270000</v>
      </c>
      <c r="W31" s="7">
        <v>2503000</v>
      </c>
      <c r="X31" s="7">
        <v>582000</v>
      </c>
      <c r="Y31" s="7">
        <v>491000</v>
      </c>
      <c r="Z31" s="7">
        <v>1324000</v>
      </c>
      <c r="AA31" s="8">
        <f t="shared" si="0"/>
        <v>14771000</v>
      </c>
    </row>
    <row r="32" spans="1:27" ht="16">
      <c r="A32" s="2" t="s">
        <v>91</v>
      </c>
      <c r="B32" s="3" t="s">
        <v>92</v>
      </c>
      <c r="C32" s="4">
        <v>46113</v>
      </c>
      <c r="D32" s="3" t="s">
        <v>29</v>
      </c>
      <c r="E32" s="5">
        <v>17</v>
      </c>
      <c r="F32" s="5">
        <v>4</v>
      </c>
      <c r="G32" s="5">
        <v>13</v>
      </c>
      <c r="H32" s="5">
        <v>8</v>
      </c>
      <c r="I32" s="5">
        <v>4</v>
      </c>
      <c r="J32" s="5">
        <v>46</v>
      </c>
      <c r="K32" s="5">
        <v>10</v>
      </c>
      <c r="L32" s="5">
        <v>3</v>
      </c>
      <c r="M32" s="5">
        <v>0</v>
      </c>
      <c r="N32" s="5">
        <v>4</v>
      </c>
      <c r="O32" s="5">
        <v>65</v>
      </c>
      <c r="P32" s="6">
        <v>11.7</v>
      </c>
      <c r="Q32" s="5">
        <v>5</v>
      </c>
      <c r="R32" s="5">
        <v>4</v>
      </c>
      <c r="S32" s="5">
        <v>0</v>
      </c>
      <c r="T32" s="5">
        <v>208</v>
      </c>
      <c r="U32" s="7">
        <v>6334000</v>
      </c>
      <c r="V32" s="7">
        <v>2625000</v>
      </c>
      <c r="W32" s="7">
        <v>2858000</v>
      </c>
      <c r="X32" s="7">
        <v>792000</v>
      </c>
      <c r="Y32" s="7">
        <v>657000</v>
      </c>
      <c r="Z32" s="7">
        <v>1964000</v>
      </c>
      <c r="AA32" s="8">
        <f t="shared" si="0"/>
        <v>15230000</v>
      </c>
    </row>
    <row r="33" spans="1:27" ht="31">
      <c r="A33" s="2" t="s">
        <v>93</v>
      </c>
      <c r="B33" s="3" t="s">
        <v>94</v>
      </c>
      <c r="C33" s="4">
        <v>46174</v>
      </c>
      <c r="D33" s="3" t="s">
        <v>29</v>
      </c>
      <c r="E33" s="5">
        <v>13</v>
      </c>
      <c r="F33" s="5">
        <v>6</v>
      </c>
      <c r="G33" s="5">
        <v>6</v>
      </c>
      <c r="H33" s="5">
        <v>7</v>
      </c>
      <c r="I33" s="5">
        <v>3</v>
      </c>
      <c r="J33" s="5">
        <v>35</v>
      </c>
      <c r="K33" s="5">
        <v>4</v>
      </c>
      <c r="L33" s="5">
        <v>3</v>
      </c>
      <c r="M33" s="5">
        <v>1</v>
      </c>
      <c r="N33" s="5">
        <v>1</v>
      </c>
      <c r="O33" s="5">
        <v>14</v>
      </c>
      <c r="P33" s="6">
        <v>1.8</v>
      </c>
      <c r="Q33" s="5">
        <v>1</v>
      </c>
      <c r="R33" s="5">
        <v>3</v>
      </c>
      <c r="S33" s="5">
        <v>0</v>
      </c>
      <c r="T33" s="5">
        <v>173</v>
      </c>
      <c r="U33" s="7">
        <v>3954000</v>
      </c>
      <c r="V33" s="7">
        <v>1470000</v>
      </c>
      <c r="W33" s="7">
        <v>722000</v>
      </c>
      <c r="X33" s="7">
        <v>262000</v>
      </c>
      <c r="Y33" s="7">
        <v>429000</v>
      </c>
      <c r="Z33" s="7">
        <v>1515000</v>
      </c>
      <c r="AA33" s="8">
        <f t="shared" si="0"/>
        <v>8352000</v>
      </c>
    </row>
    <row r="34" spans="1:27" ht="16">
      <c r="A34" s="2" t="s">
        <v>95</v>
      </c>
      <c r="B34" s="3" t="s">
        <v>96</v>
      </c>
      <c r="C34" s="4">
        <v>46203</v>
      </c>
      <c r="D34" s="3" t="s">
        <v>29</v>
      </c>
      <c r="E34" s="5">
        <v>20</v>
      </c>
      <c r="F34" s="5">
        <v>4</v>
      </c>
      <c r="G34" s="5">
        <v>9</v>
      </c>
      <c r="H34" s="5">
        <v>8</v>
      </c>
      <c r="I34" s="5">
        <v>3</v>
      </c>
      <c r="J34" s="5">
        <v>44</v>
      </c>
      <c r="K34" s="5">
        <v>8</v>
      </c>
      <c r="L34" s="5">
        <v>4</v>
      </c>
      <c r="M34" s="5">
        <v>3</v>
      </c>
      <c r="N34" s="5">
        <v>3</v>
      </c>
      <c r="O34" s="5">
        <v>47</v>
      </c>
      <c r="P34" s="6">
        <v>9.3000000000000007</v>
      </c>
      <c r="Q34" s="5">
        <v>1</v>
      </c>
      <c r="R34" s="5">
        <v>3</v>
      </c>
      <c r="S34" s="5">
        <v>0</v>
      </c>
      <c r="T34" s="5">
        <v>170</v>
      </c>
      <c r="U34" s="7">
        <v>4862000</v>
      </c>
      <c r="V34" s="7">
        <v>3114000</v>
      </c>
      <c r="W34" s="7">
        <v>1690000</v>
      </c>
      <c r="X34" s="7">
        <v>499000</v>
      </c>
      <c r="Y34" s="7">
        <v>434000</v>
      </c>
      <c r="Z34" s="7">
        <v>2395000</v>
      </c>
      <c r="AA34" s="8">
        <f t="shared" ref="AA34:AA65" si="1">SUM(U34:Z34)</f>
        <v>12994000</v>
      </c>
    </row>
    <row r="35" spans="1:27" ht="31">
      <c r="A35" s="2" t="s">
        <v>97</v>
      </c>
      <c r="B35" s="3" t="s">
        <v>98</v>
      </c>
      <c r="C35" s="4">
        <v>46357</v>
      </c>
      <c r="D35" s="3" t="s">
        <v>34</v>
      </c>
      <c r="E35" s="5">
        <v>12</v>
      </c>
      <c r="F35" s="5">
        <v>5</v>
      </c>
      <c r="G35" s="5">
        <v>8</v>
      </c>
      <c r="H35" s="5">
        <v>8</v>
      </c>
      <c r="I35" s="5">
        <v>5</v>
      </c>
      <c r="J35" s="5">
        <v>38</v>
      </c>
      <c r="K35" s="5">
        <v>6</v>
      </c>
      <c r="L35" s="5">
        <v>3</v>
      </c>
      <c r="M35" s="5">
        <v>1</v>
      </c>
      <c r="N35" s="5">
        <v>1</v>
      </c>
      <c r="O35" s="5">
        <v>26</v>
      </c>
      <c r="P35" s="6">
        <v>8.1999999999999993</v>
      </c>
      <c r="Q35" s="5">
        <v>3</v>
      </c>
      <c r="R35" s="5">
        <v>5</v>
      </c>
      <c r="S35" s="5">
        <v>0</v>
      </c>
      <c r="T35" s="5">
        <v>123</v>
      </c>
      <c r="U35" s="7">
        <v>2454000</v>
      </c>
      <c r="V35" s="7">
        <v>1208000</v>
      </c>
      <c r="W35" s="7">
        <v>2056000</v>
      </c>
      <c r="X35" s="7">
        <v>237000</v>
      </c>
      <c r="Y35" s="7">
        <v>840000</v>
      </c>
      <c r="Z35" s="7">
        <v>1478000</v>
      </c>
      <c r="AA35" s="8">
        <f t="shared" si="1"/>
        <v>8273000</v>
      </c>
    </row>
    <row r="36" spans="1:27" ht="31">
      <c r="A36" s="2" t="s">
        <v>99</v>
      </c>
      <c r="B36" s="3" t="s">
        <v>100</v>
      </c>
      <c r="C36" s="4">
        <v>46357</v>
      </c>
      <c r="D36" s="3" t="s">
        <v>34</v>
      </c>
      <c r="E36" s="5">
        <v>16</v>
      </c>
      <c r="F36" s="5">
        <v>7</v>
      </c>
      <c r="G36" s="5">
        <v>5</v>
      </c>
      <c r="H36" s="5">
        <v>6</v>
      </c>
      <c r="I36" s="5">
        <v>5</v>
      </c>
      <c r="J36" s="5">
        <v>39</v>
      </c>
      <c r="K36" s="5">
        <v>6</v>
      </c>
      <c r="L36" s="5">
        <v>2</v>
      </c>
      <c r="M36" s="5">
        <v>2</v>
      </c>
      <c r="N36" s="5">
        <v>1</v>
      </c>
      <c r="O36" s="5">
        <v>39</v>
      </c>
      <c r="P36" s="6">
        <v>7.5</v>
      </c>
      <c r="Q36" s="5">
        <v>2</v>
      </c>
      <c r="R36" s="5">
        <v>5</v>
      </c>
      <c r="S36" s="5">
        <v>0</v>
      </c>
      <c r="T36" s="5">
        <v>140</v>
      </c>
      <c r="U36" s="7">
        <v>2850000</v>
      </c>
      <c r="V36" s="7">
        <v>1571000</v>
      </c>
      <c r="W36" s="7">
        <v>1832000</v>
      </c>
      <c r="X36" s="7">
        <v>480000</v>
      </c>
      <c r="Y36" s="7">
        <v>583000</v>
      </c>
      <c r="Z36" s="7">
        <v>1938000</v>
      </c>
      <c r="AA36" s="8">
        <f t="shared" si="1"/>
        <v>9254000</v>
      </c>
    </row>
    <row r="37" spans="1:27" ht="16">
      <c r="A37" s="2" t="s">
        <v>101</v>
      </c>
      <c r="B37" s="3" t="s">
        <v>102</v>
      </c>
      <c r="C37" s="4">
        <v>46387</v>
      </c>
      <c r="D37" s="3" t="s">
        <v>29</v>
      </c>
      <c r="E37" s="5">
        <v>12</v>
      </c>
      <c r="F37" s="5">
        <v>6</v>
      </c>
      <c r="G37" s="5">
        <v>8</v>
      </c>
      <c r="H37" s="5">
        <v>7</v>
      </c>
      <c r="I37" s="5">
        <v>2</v>
      </c>
      <c r="J37" s="5">
        <v>35</v>
      </c>
      <c r="K37" s="5">
        <v>6</v>
      </c>
      <c r="L37" s="5">
        <v>1</v>
      </c>
      <c r="M37" s="5">
        <v>1</v>
      </c>
      <c r="N37" s="5">
        <v>2</v>
      </c>
      <c r="O37" s="5">
        <v>48</v>
      </c>
      <c r="P37" s="6">
        <v>6.8</v>
      </c>
      <c r="Q37" s="5">
        <v>5</v>
      </c>
      <c r="R37" s="5">
        <v>3</v>
      </c>
      <c r="S37" s="5">
        <v>0</v>
      </c>
      <c r="T37" s="5">
        <v>180</v>
      </c>
      <c r="U37" s="7">
        <v>3969000</v>
      </c>
      <c r="V37" s="7">
        <v>1589000</v>
      </c>
      <c r="W37" s="7">
        <v>2146000</v>
      </c>
      <c r="X37" s="7">
        <v>415000</v>
      </c>
      <c r="Y37" s="7">
        <v>653000</v>
      </c>
      <c r="Z37" s="7">
        <v>2565000</v>
      </c>
      <c r="AA37" s="8">
        <f t="shared" si="1"/>
        <v>11337000</v>
      </c>
    </row>
    <row r="38" spans="1:27" ht="31">
      <c r="A38" s="2" t="s">
        <v>103</v>
      </c>
      <c r="B38" s="3" t="s">
        <v>104</v>
      </c>
      <c r="C38" s="4">
        <v>46447</v>
      </c>
      <c r="D38" s="3" t="s">
        <v>29</v>
      </c>
      <c r="E38" s="5">
        <v>10</v>
      </c>
      <c r="F38" s="5">
        <v>3</v>
      </c>
      <c r="G38" s="5">
        <v>8</v>
      </c>
      <c r="H38" s="5">
        <v>6</v>
      </c>
      <c r="I38" s="5">
        <v>4</v>
      </c>
      <c r="J38" s="5">
        <v>31</v>
      </c>
      <c r="K38" s="5">
        <v>6</v>
      </c>
      <c r="L38" s="5">
        <v>1</v>
      </c>
      <c r="M38" s="5">
        <v>0</v>
      </c>
      <c r="N38" s="5">
        <v>1</v>
      </c>
      <c r="O38" s="5">
        <v>41</v>
      </c>
      <c r="P38" s="6">
        <v>9.8000000000000007</v>
      </c>
      <c r="Q38" s="5">
        <v>1</v>
      </c>
      <c r="R38" s="5">
        <v>4</v>
      </c>
      <c r="S38" s="5">
        <v>0</v>
      </c>
      <c r="T38" s="5">
        <v>93</v>
      </c>
      <c r="U38" s="7">
        <v>1764000</v>
      </c>
      <c r="V38" s="7">
        <v>529000</v>
      </c>
      <c r="W38" s="7">
        <v>1823000</v>
      </c>
      <c r="X38" s="7">
        <v>464000</v>
      </c>
      <c r="Y38" s="7">
        <v>740000</v>
      </c>
      <c r="Z38" s="7">
        <v>2258000</v>
      </c>
      <c r="AA38" s="8">
        <f t="shared" si="1"/>
        <v>7578000</v>
      </c>
    </row>
    <row r="39" spans="1:27" ht="16">
      <c r="A39" s="2" t="s">
        <v>105</v>
      </c>
      <c r="B39" s="3" t="s">
        <v>106</v>
      </c>
      <c r="C39" s="4">
        <v>46508</v>
      </c>
      <c r="D39" s="3" t="s">
        <v>29</v>
      </c>
      <c r="E39" s="5">
        <v>12</v>
      </c>
      <c r="F39" s="5">
        <v>3</v>
      </c>
      <c r="G39" s="5">
        <v>5</v>
      </c>
      <c r="H39" s="5">
        <v>3</v>
      </c>
      <c r="I39" s="5">
        <v>2</v>
      </c>
      <c r="J39" s="5">
        <v>25</v>
      </c>
      <c r="K39" s="5">
        <v>6</v>
      </c>
      <c r="L39" s="5">
        <v>2</v>
      </c>
      <c r="M39" s="5">
        <v>2</v>
      </c>
      <c r="N39" s="5">
        <v>2</v>
      </c>
      <c r="O39" s="5">
        <v>23</v>
      </c>
      <c r="P39" s="6">
        <v>7.4</v>
      </c>
      <c r="Q39" s="5">
        <v>4</v>
      </c>
      <c r="R39" s="5">
        <v>2</v>
      </c>
      <c r="S39" s="5">
        <v>0</v>
      </c>
      <c r="T39" s="5">
        <v>167</v>
      </c>
      <c r="U39" s="7">
        <v>2225000</v>
      </c>
      <c r="V39" s="7">
        <v>2012000</v>
      </c>
      <c r="W39" s="7">
        <v>1855000</v>
      </c>
      <c r="X39" s="7">
        <v>244000</v>
      </c>
      <c r="Y39" s="7">
        <v>740000</v>
      </c>
      <c r="Z39" s="7">
        <v>1894000</v>
      </c>
      <c r="AA39" s="8">
        <f t="shared" si="1"/>
        <v>8970000</v>
      </c>
    </row>
    <row r="40" spans="1:27" ht="31">
      <c r="A40" s="2" t="s">
        <v>107</v>
      </c>
      <c r="B40" s="3" t="s">
        <v>108</v>
      </c>
      <c r="C40" s="4">
        <v>46508</v>
      </c>
      <c r="D40" s="3" t="s">
        <v>29</v>
      </c>
      <c r="E40" s="5">
        <v>21</v>
      </c>
      <c r="F40" s="5">
        <v>5</v>
      </c>
      <c r="G40" s="5">
        <v>6</v>
      </c>
      <c r="H40" s="5">
        <v>5</v>
      </c>
      <c r="I40" s="5">
        <v>5</v>
      </c>
      <c r="J40" s="5">
        <v>42</v>
      </c>
      <c r="K40" s="5">
        <v>6</v>
      </c>
      <c r="L40" s="5">
        <v>3</v>
      </c>
      <c r="M40" s="5">
        <v>2</v>
      </c>
      <c r="N40" s="5">
        <v>1</v>
      </c>
      <c r="O40" s="5">
        <v>34</v>
      </c>
      <c r="P40" s="6">
        <v>4.5</v>
      </c>
      <c r="Q40" s="5">
        <v>5</v>
      </c>
      <c r="R40" s="5">
        <v>3</v>
      </c>
      <c r="S40" s="5">
        <v>0</v>
      </c>
      <c r="T40" s="5">
        <v>119</v>
      </c>
      <c r="U40" s="7">
        <v>3249000</v>
      </c>
      <c r="V40" s="7">
        <v>1443000</v>
      </c>
      <c r="W40" s="7">
        <v>1836000</v>
      </c>
      <c r="X40" s="7">
        <v>341000</v>
      </c>
      <c r="Y40" s="7">
        <v>574000</v>
      </c>
      <c r="Z40" s="7">
        <v>2490000</v>
      </c>
      <c r="AA40" s="8">
        <f t="shared" si="1"/>
        <v>9933000</v>
      </c>
    </row>
    <row r="41" spans="1:27" ht="31">
      <c r="A41" s="2" t="s">
        <v>109</v>
      </c>
      <c r="B41" s="3" t="s">
        <v>110</v>
      </c>
      <c r="C41" s="4">
        <v>46539</v>
      </c>
      <c r="D41" s="3" t="s">
        <v>29</v>
      </c>
      <c r="E41" s="5">
        <v>10</v>
      </c>
      <c r="F41" s="5">
        <v>3</v>
      </c>
      <c r="G41" s="5">
        <v>5</v>
      </c>
      <c r="H41" s="5">
        <v>4</v>
      </c>
      <c r="I41" s="5">
        <v>4</v>
      </c>
      <c r="J41" s="5">
        <v>26</v>
      </c>
      <c r="K41" s="5">
        <v>5</v>
      </c>
      <c r="L41" s="5">
        <v>2</v>
      </c>
      <c r="M41" s="5">
        <v>1</v>
      </c>
      <c r="N41" s="5">
        <v>1</v>
      </c>
      <c r="O41" s="5">
        <v>34</v>
      </c>
      <c r="P41" s="6">
        <v>10.7</v>
      </c>
      <c r="Q41" s="5">
        <v>2</v>
      </c>
      <c r="R41" s="5">
        <v>2</v>
      </c>
      <c r="S41" s="5">
        <v>0</v>
      </c>
      <c r="T41" s="5">
        <v>140</v>
      </c>
      <c r="U41" s="7">
        <v>1991000</v>
      </c>
      <c r="V41" s="7">
        <v>1155000</v>
      </c>
      <c r="W41" s="7">
        <v>1899000</v>
      </c>
      <c r="X41" s="7">
        <v>215000</v>
      </c>
      <c r="Y41" s="7">
        <v>606000</v>
      </c>
      <c r="Z41" s="7">
        <v>1020000</v>
      </c>
      <c r="AA41" s="8">
        <f t="shared" si="1"/>
        <v>6886000</v>
      </c>
    </row>
    <row r="42" spans="1:27" ht="31">
      <c r="A42" s="2" t="s">
        <v>111</v>
      </c>
      <c r="B42" s="3" t="s">
        <v>112</v>
      </c>
      <c r="C42" s="4">
        <v>46539</v>
      </c>
      <c r="D42" s="3" t="s">
        <v>29</v>
      </c>
      <c r="E42" s="5">
        <v>19</v>
      </c>
      <c r="F42" s="5">
        <v>7</v>
      </c>
      <c r="G42" s="5">
        <v>9</v>
      </c>
      <c r="H42" s="5">
        <v>9</v>
      </c>
      <c r="I42" s="5">
        <v>4</v>
      </c>
      <c r="J42" s="5">
        <v>48</v>
      </c>
      <c r="K42" s="5">
        <v>4</v>
      </c>
      <c r="L42" s="5">
        <v>3</v>
      </c>
      <c r="M42" s="5">
        <v>3</v>
      </c>
      <c r="N42" s="5">
        <v>3</v>
      </c>
      <c r="O42" s="5">
        <v>45</v>
      </c>
      <c r="P42" s="6">
        <v>13</v>
      </c>
      <c r="Q42" s="5">
        <v>7</v>
      </c>
      <c r="R42" s="5">
        <v>4</v>
      </c>
      <c r="S42" s="5">
        <v>0</v>
      </c>
      <c r="T42" s="5">
        <v>194</v>
      </c>
      <c r="U42" s="7">
        <v>5950000</v>
      </c>
      <c r="V42" s="7">
        <v>2865000</v>
      </c>
      <c r="W42" s="7">
        <v>3314000</v>
      </c>
      <c r="X42" s="7">
        <v>392000</v>
      </c>
      <c r="Y42" s="7">
        <v>997000</v>
      </c>
      <c r="Z42" s="7">
        <v>2462000</v>
      </c>
      <c r="AA42" s="8">
        <f t="shared" si="1"/>
        <v>15980000</v>
      </c>
    </row>
    <row r="43" spans="1:27" ht="31">
      <c r="A43" s="2" t="s">
        <v>113</v>
      </c>
      <c r="B43" s="3" t="s">
        <v>114</v>
      </c>
      <c r="C43" s="4">
        <v>46539</v>
      </c>
      <c r="D43" s="3" t="s">
        <v>34</v>
      </c>
      <c r="E43" s="5">
        <v>17</v>
      </c>
      <c r="F43" s="5">
        <v>4</v>
      </c>
      <c r="G43" s="5">
        <v>5</v>
      </c>
      <c r="H43" s="5">
        <v>3</v>
      </c>
      <c r="I43" s="5">
        <v>4</v>
      </c>
      <c r="J43" s="5">
        <v>33</v>
      </c>
      <c r="K43" s="5">
        <v>6</v>
      </c>
      <c r="L43" s="5">
        <v>3</v>
      </c>
      <c r="M43" s="5">
        <v>2</v>
      </c>
      <c r="N43" s="5">
        <v>2</v>
      </c>
      <c r="O43" s="5">
        <v>6</v>
      </c>
      <c r="P43" s="6">
        <v>1.4</v>
      </c>
      <c r="Q43" s="5">
        <v>2</v>
      </c>
      <c r="R43" s="5">
        <v>1</v>
      </c>
      <c r="S43" s="5">
        <v>0</v>
      </c>
      <c r="T43" s="5">
        <v>115</v>
      </c>
      <c r="U43" s="7">
        <v>2254000</v>
      </c>
      <c r="V43" s="7">
        <v>1490000</v>
      </c>
      <c r="W43" s="7">
        <v>645000</v>
      </c>
      <c r="X43" s="7">
        <v>481000</v>
      </c>
      <c r="Y43" s="7">
        <v>533000</v>
      </c>
      <c r="Z43" s="7">
        <v>1000000</v>
      </c>
      <c r="AA43" s="8">
        <f t="shared" si="1"/>
        <v>6403000</v>
      </c>
    </row>
    <row r="44" spans="1:27" ht="16">
      <c r="A44" s="2" t="s">
        <v>115</v>
      </c>
      <c r="B44" s="3" t="s">
        <v>116</v>
      </c>
      <c r="C44" s="4">
        <v>46539</v>
      </c>
      <c r="D44" s="3" t="s">
        <v>34</v>
      </c>
      <c r="E44" s="5">
        <v>26</v>
      </c>
      <c r="F44" s="5">
        <v>7</v>
      </c>
      <c r="G44" s="5">
        <v>6</v>
      </c>
      <c r="H44" s="5">
        <v>10</v>
      </c>
      <c r="I44" s="5">
        <v>4</v>
      </c>
      <c r="J44" s="5">
        <v>53</v>
      </c>
      <c r="K44" s="5">
        <v>7</v>
      </c>
      <c r="L44" s="5">
        <v>4</v>
      </c>
      <c r="M44" s="5">
        <v>1</v>
      </c>
      <c r="N44" s="5">
        <v>3</v>
      </c>
      <c r="O44" s="5">
        <v>52</v>
      </c>
      <c r="P44" s="6">
        <v>6.7</v>
      </c>
      <c r="Q44" s="5">
        <v>3</v>
      </c>
      <c r="R44" s="5">
        <v>4</v>
      </c>
      <c r="S44" s="5">
        <v>0</v>
      </c>
      <c r="T44" s="5">
        <v>176</v>
      </c>
      <c r="U44" s="7">
        <v>5886000</v>
      </c>
      <c r="V44" s="7">
        <v>2294000</v>
      </c>
      <c r="W44" s="7">
        <v>1872000</v>
      </c>
      <c r="X44" s="7">
        <v>374000</v>
      </c>
      <c r="Y44" s="7">
        <v>723000</v>
      </c>
      <c r="Z44" s="7">
        <v>3109000</v>
      </c>
      <c r="AA44" s="8">
        <f t="shared" si="1"/>
        <v>14258000</v>
      </c>
    </row>
    <row r="45" spans="1:27" ht="31">
      <c r="A45" s="2" t="s">
        <v>117</v>
      </c>
      <c r="B45" s="3" t="s">
        <v>118</v>
      </c>
      <c r="C45" s="4">
        <v>46539</v>
      </c>
      <c r="D45" s="3" t="s">
        <v>34</v>
      </c>
      <c r="E45" s="5">
        <v>25</v>
      </c>
      <c r="F45" s="5">
        <v>9</v>
      </c>
      <c r="G45" s="5">
        <v>10</v>
      </c>
      <c r="H45" s="5">
        <v>6</v>
      </c>
      <c r="I45" s="5">
        <v>6</v>
      </c>
      <c r="J45" s="5">
        <v>56</v>
      </c>
      <c r="K45" s="5">
        <v>6</v>
      </c>
      <c r="L45" s="5">
        <v>3</v>
      </c>
      <c r="M45" s="5">
        <v>0</v>
      </c>
      <c r="N45" s="5">
        <v>1</v>
      </c>
      <c r="O45" s="5">
        <v>51</v>
      </c>
      <c r="P45" s="6">
        <v>11.9</v>
      </c>
      <c r="Q45" s="5">
        <v>3</v>
      </c>
      <c r="R45" s="5">
        <v>3</v>
      </c>
      <c r="S45" s="5">
        <v>0</v>
      </c>
      <c r="T45" s="5">
        <v>162</v>
      </c>
      <c r="U45" s="7">
        <v>5978000</v>
      </c>
      <c r="V45" s="7">
        <v>1216000</v>
      </c>
      <c r="W45" s="7">
        <v>2372000</v>
      </c>
      <c r="X45" s="7">
        <v>606000</v>
      </c>
      <c r="Y45" s="7">
        <v>566000</v>
      </c>
      <c r="Z45" s="7">
        <v>2025000</v>
      </c>
      <c r="AA45" s="8">
        <f t="shared" si="1"/>
        <v>12763000</v>
      </c>
    </row>
    <row r="46" spans="1:27" ht="16">
      <c r="A46" s="2" t="s">
        <v>119</v>
      </c>
      <c r="B46" s="3" t="s">
        <v>120</v>
      </c>
      <c r="C46" s="4">
        <v>46539</v>
      </c>
      <c r="D46" s="3" t="s">
        <v>29</v>
      </c>
      <c r="E46" s="5">
        <v>15</v>
      </c>
      <c r="F46" s="5">
        <v>3</v>
      </c>
      <c r="G46" s="5">
        <v>7</v>
      </c>
      <c r="H46" s="5">
        <v>6</v>
      </c>
      <c r="I46" s="5">
        <v>5</v>
      </c>
      <c r="J46" s="5">
        <v>36</v>
      </c>
      <c r="K46" s="5">
        <v>7</v>
      </c>
      <c r="L46" s="5">
        <v>3</v>
      </c>
      <c r="M46" s="5">
        <v>1</v>
      </c>
      <c r="N46" s="5">
        <v>3</v>
      </c>
      <c r="O46" s="5">
        <v>37</v>
      </c>
      <c r="P46" s="6">
        <v>5.9</v>
      </c>
      <c r="Q46" s="5">
        <v>5</v>
      </c>
      <c r="R46" s="5">
        <v>1</v>
      </c>
      <c r="S46" s="5">
        <v>0</v>
      </c>
      <c r="T46" s="5">
        <v>146</v>
      </c>
      <c r="U46" s="7">
        <v>3080000</v>
      </c>
      <c r="V46" s="7">
        <v>1771000</v>
      </c>
      <c r="W46" s="7">
        <v>1817000</v>
      </c>
      <c r="X46" s="7">
        <v>479000</v>
      </c>
      <c r="Y46" s="7">
        <v>404000</v>
      </c>
      <c r="Z46" s="7">
        <v>1893000</v>
      </c>
      <c r="AA46" s="8">
        <f t="shared" si="1"/>
        <v>9444000</v>
      </c>
    </row>
    <row r="47" spans="1:27" ht="16">
      <c r="A47" s="2" t="s">
        <v>121</v>
      </c>
      <c r="B47" s="3" t="s">
        <v>122</v>
      </c>
      <c r="C47" s="4">
        <v>46539</v>
      </c>
      <c r="D47" s="3" t="s">
        <v>29</v>
      </c>
      <c r="E47" s="5">
        <v>12</v>
      </c>
      <c r="F47" s="5">
        <v>7</v>
      </c>
      <c r="G47" s="5">
        <v>5</v>
      </c>
      <c r="H47" s="5">
        <v>3</v>
      </c>
      <c r="I47" s="5">
        <v>2</v>
      </c>
      <c r="J47" s="5">
        <v>29</v>
      </c>
      <c r="K47" s="5">
        <v>6</v>
      </c>
      <c r="L47" s="5">
        <v>2</v>
      </c>
      <c r="M47" s="5">
        <v>1</v>
      </c>
      <c r="N47" s="5">
        <v>2</v>
      </c>
      <c r="O47" s="5">
        <v>51</v>
      </c>
      <c r="P47" s="6">
        <v>6.4</v>
      </c>
      <c r="Q47" s="5">
        <v>6</v>
      </c>
      <c r="R47" s="5">
        <v>3</v>
      </c>
      <c r="S47" s="5">
        <v>0</v>
      </c>
      <c r="T47" s="5">
        <v>160</v>
      </c>
      <c r="U47" s="7">
        <v>2886000</v>
      </c>
      <c r="V47" s="7">
        <v>1558000</v>
      </c>
      <c r="W47" s="7">
        <v>2294000</v>
      </c>
      <c r="X47" s="7">
        <v>444000</v>
      </c>
      <c r="Y47" s="7">
        <v>658000</v>
      </c>
      <c r="Z47" s="7">
        <v>815000</v>
      </c>
      <c r="AA47" s="8">
        <f t="shared" si="1"/>
        <v>8655000</v>
      </c>
    </row>
    <row r="48" spans="1:27" ht="31">
      <c r="A48" s="2" t="s">
        <v>123</v>
      </c>
      <c r="B48" s="3" t="s">
        <v>124</v>
      </c>
      <c r="C48" s="4">
        <v>46539</v>
      </c>
      <c r="D48" s="3" t="s">
        <v>29</v>
      </c>
      <c r="E48" s="5">
        <v>27</v>
      </c>
      <c r="F48" s="5">
        <v>6</v>
      </c>
      <c r="G48" s="5">
        <v>6</v>
      </c>
      <c r="H48" s="5">
        <v>10</v>
      </c>
      <c r="I48" s="5">
        <v>6</v>
      </c>
      <c r="J48" s="5">
        <v>55</v>
      </c>
      <c r="K48" s="5">
        <v>5</v>
      </c>
      <c r="L48" s="5">
        <v>4</v>
      </c>
      <c r="M48" s="5">
        <v>0</v>
      </c>
      <c r="N48" s="5">
        <v>3</v>
      </c>
      <c r="O48" s="5">
        <v>72</v>
      </c>
      <c r="P48" s="6">
        <v>8.6</v>
      </c>
      <c r="Q48" s="5">
        <v>5</v>
      </c>
      <c r="R48" s="5">
        <v>3</v>
      </c>
      <c r="S48" s="5">
        <v>0</v>
      </c>
      <c r="T48" s="5">
        <v>164</v>
      </c>
      <c r="U48" s="7">
        <v>5728000</v>
      </c>
      <c r="V48" s="7">
        <v>1542000</v>
      </c>
      <c r="W48" s="7">
        <v>2429000</v>
      </c>
      <c r="X48" s="7">
        <v>448000</v>
      </c>
      <c r="Y48" s="7">
        <v>647000</v>
      </c>
      <c r="Z48" s="7">
        <v>2935000</v>
      </c>
      <c r="AA48" s="8">
        <f t="shared" si="1"/>
        <v>13729000</v>
      </c>
    </row>
    <row r="49" spans="1:27" ht="16">
      <c r="A49" s="2" t="s">
        <v>125</v>
      </c>
      <c r="B49" s="3" t="s">
        <v>126</v>
      </c>
      <c r="C49" s="4">
        <v>46539</v>
      </c>
      <c r="D49" s="3" t="s">
        <v>41</v>
      </c>
      <c r="E49" s="5">
        <v>13</v>
      </c>
      <c r="F49" s="5">
        <v>6</v>
      </c>
      <c r="G49" s="5">
        <v>4</v>
      </c>
      <c r="H49" s="5">
        <v>5</v>
      </c>
      <c r="I49" s="5">
        <v>4</v>
      </c>
      <c r="J49" s="5">
        <v>32</v>
      </c>
      <c r="K49" s="5">
        <v>5</v>
      </c>
      <c r="L49" s="5">
        <v>3</v>
      </c>
      <c r="M49" s="5">
        <v>1</v>
      </c>
      <c r="N49" s="5">
        <v>1</v>
      </c>
      <c r="O49" s="5">
        <v>53</v>
      </c>
      <c r="P49" s="6">
        <v>4.8</v>
      </c>
      <c r="Q49" s="5">
        <v>3</v>
      </c>
      <c r="R49" s="5">
        <v>1</v>
      </c>
      <c r="S49" s="5">
        <v>0</v>
      </c>
      <c r="T49" s="5">
        <v>123</v>
      </c>
      <c r="U49" s="7">
        <v>2503000</v>
      </c>
      <c r="V49" s="7">
        <v>1126000</v>
      </c>
      <c r="W49" s="7">
        <v>1372000</v>
      </c>
      <c r="X49" s="7">
        <v>289000</v>
      </c>
      <c r="Y49" s="7">
        <v>295000</v>
      </c>
      <c r="Z49" s="7">
        <v>1396000</v>
      </c>
      <c r="AA49" s="8">
        <f t="shared" si="1"/>
        <v>6981000</v>
      </c>
    </row>
    <row r="50" spans="1:27" ht="31">
      <c r="A50" s="2" t="s">
        <v>127</v>
      </c>
      <c r="B50" s="3" t="s">
        <v>128</v>
      </c>
      <c r="C50" s="4">
        <v>46539</v>
      </c>
      <c r="D50" s="3" t="s">
        <v>29</v>
      </c>
      <c r="E50" s="5">
        <v>17</v>
      </c>
      <c r="F50" s="5">
        <v>7</v>
      </c>
      <c r="G50" s="5">
        <v>7</v>
      </c>
      <c r="H50" s="5">
        <v>3</v>
      </c>
      <c r="I50" s="5">
        <v>5</v>
      </c>
      <c r="J50" s="5">
        <v>39</v>
      </c>
      <c r="K50" s="5">
        <v>7</v>
      </c>
      <c r="L50" s="5">
        <v>2</v>
      </c>
      <c r="M50" s="5">
        <v>0</v>
      </c>
      <c r="N50" s="5">
        <v>2</v>
      </c>
      <c r="O50" s="5">
        <v>54</v>
      </c>
      <c r="P50" s="6">
        <v>5</v>
      </c>
      <c r="Q50" s="5">
        <v>1</v>
      </c>
      <c r="R50" s="5">
        <v>5</v>
      </c>
      <c r="S50" s="5">
        <v>0</v>
      </c>
      <c r="T50" s="5">
        <v>142</v>
      </c>
      <c r="U50" s="7">
        <v>3234000</v>
      </c>
      <c r="V50" s="7">
        <v>1148000</v>
      </c>
      <c r="W50" s="7">
        <v>1408000</v>
      </c>
      <c r="X50" s="7">
        <v>391000</v>
      </c>
      <c r="Y50" s="7">
        <v>622000</v>
      </c>
      <c r="Z50" s="7">
        <v>933000</v>
      </c>
      <c r="AA50" s="8">
        <f t="shared" si="1"/>
        <v>7736000</v>
      </c>
    </row>
    <row r="51" spans="1:27" ht="16">
      <c r="A51" s="2" t="s">
        <v>129</v>
      </c>
      <c r="B51" s="3" t="s">
        <v>130</v>
      </c>
      <c r="C51" s="4">
        <v>46539</v>
      </c>
      <c r="D51" s="3" t="s">
        <v>48</v>
      </c>
      <c r="E51" s="5">
        <v>21</v>
      </c>
      <c r="F51" s="5">
        <v>5</v>
      </c>
      <c r="G51" s="5">
        <v>9</v>
      </c>
      <c r="H51" s="5">
        <v>8</v>
      </c>
      <c r="I51" s="5">
        <v>5</v>
      </c>
      <c r="J51" s="5">
        <v>48</v>
      </c>
      <c r="K51" s="5">
        <v>3</v>
      </c>
      <c r="L51" s="5">
        <v>1</v>
      </c>
      <c r="M51" s="5">
        <v>2</v>
      </c>
      <c r="N51" s="5">
        <v>2</v>
      </c>
      <c r="O51" s="5">
        <v>57</v>
      </c>
      <c r="P51" s="6">
        <v>4.7</v>
      </c>
      <c r="Q51" s="5">
        <v>3</v>
      </c>
      <c r="R51" s="5">
        <v>5</v>
      </c>
      <c r="S51" s="5">
        <v>0</v>
      </c>
      <c r="T51" s="5">
        <v>152</v>
      </c>
      <c r="U51" s="7">
        <v>4509000</v>
      </c>
      <c r="V51" s="7">
        <v>1392000</v>
      </c>
      <c r="W51" s="7">
        <v>1753000</v>
      </c>
      <c r="X51" s="7">
        <v>395000</v>
      </c>
      <c r="Y51" s="7">
        <v>841000</v>
      </c>
      <c r="Z51" s="7">
        <v>2223000</v>
      </c>
      <c r="AA51" s="8">
        <f t="shared" si="1"/>
        <v>11113000</v>
      </c>
    </row>
    <row r="52" spans="1:27" ht="31">
      <c r="A52" s="2" t="s">
        <v>131</v>
      </c>
      <c r="B52" s="3" t="s">
        <v>132</v>
      </c>
      <c r="C52" s="4">
        <v>46539</v>
      </c>
      <c r="D52" s="3" t="s">
        <v>48</v>
      </c>
      <c r="E52" s="5">
        <v>14</v>
      </c>
      <c r="F52" s="5">
        <v>5</v>
      </c>
      <c r="G52" s="5">
        <v>8</v>
      </c>
      <c r="H52" s="5">
        <v>5</v>
      </c>
      <c r="I52" s="5">
        <v>2</v>
      </c>
      <c r="J52" s="5">
        <v>34</v>
      </c>
      <c r="K52" s="5">
        <v>7</v>
      </c>
      <c r="L52" s="5">
        <v>3</v>
      </c>
      <c r="M52" s="5">
        <v>2</v>
      </c>
      <c r="N52" s="5">
        <v>3</v>
      </c>
      <c r="O52" s="5">
        <v>37</v>
      </c>
      <c r="P52" s="6">
        <v>4.7</v>
      </c>
      <c r="Q52" s="5">
        <v>1</v>
      </c>
      <c r="R52" s="5">
        <v>5</v>
      </c>
      <c r="S52" s="5">
        <v>0</v>
      </c>
      <c r="T52" s="5">
        <v>146</v>
      </c>
      <c r="U52" s="7">
        <v>2606000</v>
      </c>
      <c r="V52" s="7">
        <v>2108000</v>
      </c>
      <c r="W52" s="7">
        <v>1319000</v>
      </c>
      <c r="X52" s="7">
        <v>548000</v>
      </c>
      <c r="Y52" s="7">
        <v>626000</v>
      </c>
      <c r="Z52" s="7">
        <v>1231000</v>
      </c>
      <c r="AA52" s="8">
        <f t="shared" si="1"/>
        <v>8438000</v>
      </c>
    </row>
    <row r="53" spans="1:27" ht="16">
      <c r="A53" s="2" t="s">
        <v>133</v>
      </c>
      <c r="B53" s="3" t="s">
        <v>134</v>
      </c>
      <c r="C53" s="4">
        <v>46598</v>
      </c>
      <c r="D53" s="3" t="s">
        <v>29</v>
      </c>
      <c r="E53" s="5">
        <v>17</v>
      </c>
      <c r="F53" s="5">
        <v>4</v>
      </c>
      <c r="G53" s="5">
        <v>4</v>
      </c>
      <c r="H53" s="5">
        <v>7</v>
      </c>
      <c r="I53" s="5">
        <v>3</v>
      </c>
      <c r="J53" s="5">
        <v>35</v>
      </c>
      <c r="K53" s="5">
        <v>6</v>
      </c>
      <c r="L53" s="5">
        <v>3</v>
      </c>
      <c r="M53" s="5">
        <v>1</v>
      </c>
      <c r="N53" s="5">
        <v>1</v>
      </c>
      <c r="O53" s="5">
        <v>25</v>
      </c>
      <c r="P53" s="6">
        <v>10.9</v>
      </c>
      <c r="Q53" s="5">
        <v>2</v>
      </c>
      <c r="R53" s="5">
        <v>3</v>
      </c>
      <c r="S53" s="5">
        <v>0</v>
      </c>
      <c r="T53" s="5">
        <v>162</v>
      </c>
      <c r="U53" s="7">
        <v>3107000</v>
      </c>
      <c r="V53" s="7">
        <v>1590000</v>
      </c>
      <c r="W53" s="7">
        <v>1988000</v>
      </c>
      <c r="X53" s="7">
        <v>182000</v>
      </c>
      <c r="Y53" s="7">
        <v>713000</v>
      </c>
      <c r="Z53" s="7">
        <v>2122000</v>
      </c>
      <c r="AA53" s="8">
        <f t="shared" si="1"/>
        <v>9702000</v>
      </c>
    </row>
    <row r="54" spans="1:27" ht="31">
      <c r="A54" s="2" t="s">
        <v>135</v>
      </c>
      <c r="B54" s="3" t="s">
        <v>136</v>
      </c>
      <c r="C54" s="4">
        <v>46722</v>
      </c>
      <c r="D54" s="3" t="s">
        <v>34</v>
      </c>
      <c r="E54" s="5">
        <v>18</v>
      </c>
      <c r="F54" s="5">
        <v>6</v>
      </c>
      <c r="G54" s="5">
        <v>9</v>
      </c>
      <c r="H54" s="5">
        <v>3</v>
      </c>
      <c r="I54" s="5">
        <v>2</v>
      </c>
      <c r="J54" s="5">
        <v>38</v>
      </c>
      <c r="K54" s="5">
        <v>7</v>
      </c>
      <c r="L54" s="5">
        <v>2</v>
      </c>
      <c r="M54" s="5">
        <v>0</v>
      </c>
      <c r="N54" s="5">
        <v>2</v>
      </c>
      <c r="O54" s="5">
        <v>31</v>
      </c>
      <c r="P54" s="6">
        <v>10.9</v>
      </c>
      <c r="Q54" s="5">
        <v>5</v>
      </c>
      <c r="R54" s="5">
        <v>3</v>
      </c>
      <c r="S54" s="5">
        <v>0</v>
      </c>
      <c r="T54" s="5">
        <v>113</v>
      </c>
      <c r="U54" s="7">
        <v>2314000</v>
      </c>
      <c r="V54" s="7">
        <v>914000</v>
      </c>
      <c r="W54" s="7">
        <v>2563000</v>
      </c>
      <c r="X54" s="7">
        <v>245000</v>
      </c>
      <c r="Y54" s="7">
        <v>485000</v>
      </c>
      <c r="Z54" s="7">
        <v>851000</v>
      </c>
      <c r="AA54" s="8">
        <f t="shared" si="1"/>
        <v>7372000</v>
      </c>
    </row>
    <row r="55" spans="1:27" ht="16">
      <c r="A55" s="2" t="s">
        <v>137</v>
      </c>
      <c r="B55" s="3" t="s">
        <v>138</v>
      </c>
      <c r="C55" s="4">
        <v>46752</v>
      </c>
      <c r="D55" s="3" t="s">
        <v>29</v>
      </c>
      <c r="E55" s="5">
        <v>18</v>
      </c>
      <c r="F55" s="5">
        <v>7</v>
      </c>
      <c r="G55" s="5">
        <v>6</v>
      </c>
      <c r="H55" s="5">
        <v>3</v>
      </c>
      <c r="I55" s="5">
        <v>5</v>
      </c>
      <c r="J55" s="5">
        <v>39</v>
      </c>
      <c r="K55" s="5">
        <v>6</v>
      </c>
      <c r="L55" s="5">
        <v>1</v>
      </c>
      <c r="M55" s="5">
        <v>0</v>
      </c>
      <c r="N55" s="5">
        <v>3</v>
      </c>
      <c r="O55" s="5">
        <v>46</v>
      </c>
      <c r="P55" s="6">
        <v>11.1</v>
      </c>
      <c r="Q55" s="5">
        <v>2</v>
      </c>
      <c r="R55" s="5">
        <v>3</v>
      </c>
      <c r="S55" s="5">
        <v>0</v>
      </c>
      <c r="T55" s="5">
        <v>150</v>
      </c>
      <c r="U55" s="7">
        <v>3797000</v>
      </c>
      <c r="V55" s="7">
        <v>1101000</v>
      </c>
      <c r="W55" s="7">
        <v>2079000</v>
      </c>
      <c r="X55" s="7">
        <v>263000</v>
      </c>
      <c r="Y55" s="7">
        <v>771000</v>
      </c>
      <c r="Z55" s="7">
        <v>1530000</v>
      </c>
      <c r="AA55" s="8">
        <f t="shared" si="1"/>
        <v>9541000</v>
      </c>
    </row>
    <row r="56" spans="1:27" ht="31">
      <c r="A56" s="2" t="s">
        <v>139</v>
      </c>
      <c r="B56" s="3" t="s">
        <v>140</v>
      </c>
      <c r="C56" s="4">
        <v>46905</v>
      </c>
      <c r="D56" s="3" t="s">
        <v>34</v>
      </c>
      <c r="E56" s="5">
        <v>16</v>
      </c>
      <c r="F56" s="5">
        <v>7</v>
      </c>
      <c r="G56" s="5">
        <v>7</v>
      </c>
      <c r="H56" s="5">
        <v>10</v>
      </c>
      <c r="I56" s="5">
        <v>4</v>
      </c>
      <c r="J56" s="5">
        <v>44</v>
      </c>
      <c r="K56" s="5">
        <v>7</v>
      </c>
      <c r="L56" s="5">
        <v>1</v>
      </c>
      <c r="M56" s="5">
        <v>0</v>
      </c>
      <c r="N56" s="5">
        <v>1</v>
      </c>
      <c r="O56" s="5">
        <v>52</v>
      </c>
      <c r="P56" s="6">
        <v>10.199999999999999</v>
      </c>
      <c r="Q56" s="5">
        <v>1</v>
      </c>
      <c r="R56" s="5">
        <v>6</v>
      </c>
      <c r="S56" s="5">
        <v>0</v>
      </c>
      <c r="T56" s="5">
        <v>214</v>
      </c>
      <c r="U56" s="7">
        <v>5245000</v>
      </c>
      <c r="V56" s="7">
        <v>1359000</v>
      </c>
      <c r="W56" s="7">
        <v>2094000</v>
      </c>
      <c r="X56" s="7">
        <v>677000</v>
      </c>
      <c r="Y56" s="7">
        <v>881000</v>
      </c>
      <c r="Z56" s="7">
        <v>2347000</v>
      </c>
      <c r="AA56" s="8">
        <f t="shared" si="1"/>
        <v>12603000</v>
      </c>
    </row>
    <row r="57" spans="1:27" ht="31">
      <c r="A57" s="2" t="s">
        <v>141</v>
      </c>
      <c r="B57" s="3" t="s">
        <v>142</v>
      </c>
      <c r="C57" s="4">
        <v>46905</v>
      </c>
      <c r="D57" s="3" t="s">
        <v>34</v>
      </c>
      <c r="E57" s="5">
        <v>18</v>
      </c>
      <c r="F57" s="5">
        <v>8</v>
      </c>
      <c r="G57" s="5">
        <v>5</v>
      </c>
      <c r="H57" s="5">
        <v>7</v>
      </c>
      <c r="I57" s="5">
        <v>5</v>
      </c>
      <c r="J57" s="5">
        <v>43</v>
      </c>
      <c r="K57" s="5">
        <v>4</v>
      </c>
      <c r="L57" s="5">
        <v>3</v>
      </c>
      <c r="M57" s="5">
        <v>1</v>
      </c>
      <c r="N57" s="5">
        <v>1</v>
      </c>
      <c r="O57" s="5">
        <v>58</v>
      </c>
      <c r="P57" s="6">
        <v>5.9</v>
      </c>
      <c r="Q57" s="5">
        <v>5</v>
      </c>
      <c r="R57" s="5">
        <v>5</v>
      </c>
      <c r="S57" s="5">
        <v>0</v>
      </c>
      <c r="T57" s="5">
        <v>152</v>
      </c>
      <c r="U57" s="7">
        <v>4386000</v>
      </c>
      <c r="V57" s="7">
        <v>1292000</v>
      </c>
      <c r="W57" s="7">
        <v>2264000</v>
      </c>
      <c r="X57" s="7">
        <v>353000</v>
      </c>
      <c r="Y57" s="7">
        <v>891000</v>
      </c>
      <c r="Z57" s="7">
        <v>2925000</v>
      </c>
      <c r="AA57" s="8">
        <f t="shared" si="1"/>
        <v>12111000</v>
      </c>
    </row>
    <row r="58" spans="1:27" ht="31">
      <c r="A58" s="2" t="s">
        <v>143</v>
      </c>
      <c r="B58" s="3" t="s">
        <v>144</v>
      </c>
      <c r="C58" s="4">
        <v>46905</v>
      </c>
      <c r="D58" s="3" t="s">
        <v>34</v>
      </c>
      <c r="E58" s="5">
        <v>15</v>
      </c>
      <c r="F58" s="5">
        <v>5</v>
      </c>
      <c r="G58" s="5">
        <v>9</v>
      </c>
      <c r="H58" s="5">
        <v>4</v>
      </c>
      <c r="I58" s="5">
        <v>3</v>
      </c>
      <c r="J58" s="5">
        <v>36</v>
      </c>
      <c r="K58" s="5">
        <v>8</v>
      </c>
      <c r="L58" s="5">
        <v>1</v>
      </c>
      <c r="M58" s="5">
        <v>1</v>
      </c>
      <c r="N58" s="5">
        <v>1</v>
      </c>
      <c r="O58" s="5">
        <v>2</v>
      </c>
      <c r="P58" s="6">
        <v>0.6</v>
      </c>
      <c r="Q58" s="5">
        <v>6</v>
      </c>
      <c r="R58" s="5">
        <v>1</v>
      </c>
      <c r="S58" s="5">
        <v>0</v>
      </c>
      <c r="T58" s="5">
        <v>178</v>
      </c>
      <c r="U58" s="7">
        <v>3396000</v>
      </c>
      <c r="V58" s="7">
        <v>1659000</v>
      </c>
      <c r="W58" s="7">
        <v>1280000</v>
      </c>
      <c r="X58" s="7">
        <v>352000</v>
      </c>
      <c r="Y58" s="7">
        <v>650000</v>
      </c>
      <c r="Z58" s="7">
        <v>835000</v>
      </c>
      <c r="AA58" s="8">
        <f t="shared" si="1"/>
        <v>8172000</v>
      </c>
    </row>
    <row r="59" spans="1:27" ht="31">
      <c r="A59" s="2" t="s">
        <v>145</v>
      </c>
      <c r="B59" s="3" t="s">
        <v>146</v>
      </c>
      <c r="C59" s="4">
        <v>46905</v>
      </c>
      <c r="D59" s="3" t="s">
        <v>41</v>
      </c>
      <c r="E59" s="5">
        <v>13</v>
      </c>
      <c r="F59" s="5">
        <v>3</v>
      </c>
      <c r="G59" s="5">
        <v>5</v>
      </c>
      <c r="H59" s="5">
        <v>8</v>
      </c>
      <c r="I59" s="5">
        <v>3</v>
      </c>
      <c r="J59" s="5">
        <v>32</v>
      </c>
      <c r="K59" s="5">
        <v>7</v>
      </c>
      <c r="L59" s="5">
        <v>3</v>
      </c>
      <c r="M59" s="5">
        <v>0</v>
      </c>
      <c r="N59" s="5">
        <v>2</v>
      </c>
      <c r="O59" s="5">
        <v>26</v>
      </c>
      <c r="P59" s="6">
        <v>8.1</v>
      </c>
      <c r="Q59" s="5">
        <v>3</v>
      </c>
      <c r="R59" s="5">
        <v>5</v>
      </c>
      <c r="S59" s="5">
        <v>0</v>
      </c>
      <c r="T59" s="5">
        <v>103</v>
      </c>
      <c r="U59" s="7">
        <v>1852000</v>
      </c>
      <c r="V59" s="7">
        <v>926000</v>
      </c>
      <c r="W59" s="7">
        <v>2045000</v>
      </c>
      <c r="X59" s="7">
        <v>242000</v>
      </c>
      <c r="Y59" s="7">
        <v>553000</v>
      </c>
      <c r="Z59" s="7">
        <v>1204000</v>
      </c>
      <c r="AA59" s="8">
        <f t="shared" si="1"/>
        <v>6822000</v>
      </c>
    </row>
    <row r="60" spans="1:27" ht="16">
      <c r="A60" s="2" t="s">
        <v>147</v>
      </c>
      <c r="B60" s="3" t="s">
        <v>148</v>
      </c>
      <c r="C60" s="4">
        <v>46905</v>
      </c>
      <c r="D60" s="3" t="s">
        <v>29</v>
      </c>
      <c r="E60" s="5">
        <v>13</v>
      </c>
      <c r="F60" s="5">
        <v>3</v>
      </c>
      <c r="G60" s="5">
        <v>3</v>
      </c>
      <c r="H60" s="5">
        <v>2</v>
      </c>
      <c r="I60" s="5">
        <v>2</v>
      </c>
      <c r="J60" s="5">
        <v>23</v>
      </c>
      <c r="K60" s="5">
        <v>3</v>
      </c>
      <c r="L60" s="5">
        <v>1</v>
      </c>
      <c r="M60" s="5">
        <v>0</v>
      </c>
      <c r="N60" s="5">
        <v>1</v>
      </c>
      <c r="O60" s="5">
        <v>9</v>
      </c>
      <c r="P60" s="6">
        <v>1.1000000000000001</v>
      </c>
      <c r="Q60" s="5">
        <v>3</v>
      </c>
      <c r="R60" s="5">
        <v>3</v>
      </c>
      <c r="S60" s="5">
        <v>0</v>
      </c>
      <c r="T60" s="5">
        <v>138</v>
      </c>
      <c r="U60" s="7">
        <v>1812000</v>
      </c>
      <c r="V60" s="7">
        <v>512000</v>
      </c>
      <c r="W60" s="7">
        <v>995000</v>
      </c>
      <c r="X60" s="7">
        <v>285000</v>
      </c>
      <c r="Y60" s="7">
        <v>221000</v>
      </c>
      <c r="Z60" s="7">
        <v>915000</v>
      </c>
      <c r="AA60" s="8">
        <f t="shared" si="1"/>
        <v>4740000</v>
      </c>
    </row>
    <row r="61" spans="1:27" ht="31">
      <c r="A61" s="2" t="s">
        <v>149</v>
      </c>
      <c r="B61" s="3" t="s">
        <v>150</v>
      </c>
      <c r="C61" s="4">
        <v>46905</v>
      </c>
      <c r="D61" s="3" t="s">
        <v>48</v>
      </c>
      <c r="E61" s="5">
        <v>16</v>
      </c>
      <c r="F61" s="5">
        <v>7</v>
      </c>
      <c r="G61" s="5">
        <v>7</v>
      </c>
      <c r="H61" s="5">
        <v>7</v>
      </c>
      <c r="I61" s="5">
        <v>3</v>
      </c>
      <c r="J61" s="5">
        <v>40</v>
      </c>
      <c r="K61" s="5">
        <v>6</v>
      </c>
      <c r="L61" s="5">
        <v>3</v>
      </c>
      <c r="M61" s="5">
        <v>1</v>
      </c>
      <c r="N61" s="5">
        <v>1</v>
      </c>
      <c r="O61" s="5">
        <v>40</v>
      </c>
      <c r="P61" s="6">
        <v>5.9</v>
      </c>
      <c r="Q61" s="5">
        <v>2</v>
      </c>
      <c r="R61" s="5">
        <v>3</v>
      </c>
      <c r="S61" s="5">
        <v>0</v>
      </c>
      <c r="T61" s="5">
        <v>118</v>
      </c>
      <c r="U61" s="7">
        <v>2714000</v>
      </c>
      <c r="V61" s="7">
        <v>1158000</v>
      </c>
      <c r="W61" s="7">
        <v>1462000</v>
      </c>
      <c r="X61" s="7">
        <v>423000</v>
      </c>
      <c r="Y61" s="7">
        <v>430000</v>
      </c>
      <c r="Z61" s="7">
        <v>1427000</v>
      </c>
      <c r="AA61" s="8">
        <f t="shared" si="1"/>
        <v>7614000</v>
      </c>
    </row>
    <row r="62" spans="1:27" ht="31">
      <c r="A62" s="2" t="s">
        <v>151</v>
      </c>
      <c r="B62" s="3" t="s">
        <v>152</v>
      </c>
      <c r="C62" s="4">
        <v>46905</v>
      </c>
      <c r="D62" s="3" t="s">
        <v>48</v>
      </c>
      <c r="E62" s="5">
        <v>18</v>
      </c>
      <c r="F62" s="5">
        <v>3</v>
      </c>
      <c r="G62" s="5">
        <v>7</v>
      </c>
      <c r="H62" s="5">
        <v>6</v>
      </c>
      <c r="I62" s="5">
        <v>5</v>
      </c>
      <c r="J62" s="5">
        <v>39</v>
      </c>
      <c r="K62" s="5">
        <v>6</v>
      </c>
      <c r="L62" s="5">
        <v>2</v>
      </c>
      <c r="M62" s="5">
        <v>0</v>
      </c>
      <c r="N62" s="5">
        <v>2</v>
      </c>
      <c r="O62" s="5">
        <v>46</v>
      </c>
      <c r="P62" s="6">
        <v>10.9</v>
      </c>
      <c r="Q62" s="5">
        <v>2</v>
      </c>
      <c r="R62" s="5">
        <v>1</v>
      </c>
      <c r="S62" s="5">
        <v>0</v>
      </c>
      <c r="T62" s="5">
        <v>103</v>
      </c>
      <c r="U62" s="7">
        <v>2406000</v>
      </c>
      <c r="V62" s="7">
        <v>765000</v>
      </c>
      <c r="W62" s="7">
        <v>1866000</v>
      </c>
      <c r="X62" s="7">
        <v>471000</v>
      </c>
      <c r="Y62" s="7">
        <v>305000</v>
      </c>
      <c r="Z62" s="7">
        <v>2577000</v>
      </c>
      <c r="AA62" s="8">
        <f t="shared" si="1"/>
        <v>8390000</v>
      </c>
    </row>
    <row r="63" spans="1:27" ht="16">
      <c r="A63" s="2" t="s">
        <v>153</v>
      </c>
      <c r="B63" s="3" t="s">
        <v>154</v>
      </c>
      <c r="C63" s="4">
        <v>46905</v>
      </c>
      <c r="D63" s="3" t="s">
        <v>29</v>
      </c>
      <c r="E63" s="5">
        <v>16</v>
      </c>
      <c r="F63" s="5">
        <v>4</v>
      </c>
      <c r="G63" s="5">
        <v>8</v>
      </c>
      <c r="H63" s="5">
        <v>3</v>
      </c>
      <c r="I63" s="5">
        <v>2</v>
      </c>
      <c r="J63" s="5">
        <v>33</v>
      </c>
      <c r="K63" s="5">
        <v>3</v>
      </c>
      <c r="L63" s="5">
        <v>1</v>
      </c>
      <c r="M63" s="5">
        <v>2</v>
      </c>
      <c r="N63" s="5">
        <v>1</v>
      </c>
      <c r="O63" s="5">
        <v>32</v>
      </c>
      <c r="P63" s="6">
        <v>3.4</v>
      </c>
      <c r="Q63" s="5">
        <v>5</v>
      </c>
      <c r="R63" s="5">
        <v>3</v>
      </c>
      <c r="S63" s="5">
        <v>0</v>
      </c>
      <c r="T63" s="5">
        <v>158</v>
      </c>
      <c r="U63" s="7">
        <v>3509000</v>
      </c>
      <c r="V63" s="7">
        <v>1317000</v>
      </c>
      <c r="W63" s="7">
        <v>1703000</v>
      </c>
      <c r="X63" s="7">
        <v>233000</v>
      </c>
      <c r="Y63" s="7">
        <v>304000</v>
      </c>
      <c r="Z63" s="7">
        <v>1395000</v>
      </c>
      <c r="AA63" s="8">
        <f t="shared" si="1"/>
        <v>8461000</v>
      </c>
    </row>
    <row r="64" spans="1:27" ht="31">
      <c r="A64" s="2" t="s">
        <v>155</v>
      </c>
      <c r="B64" s="3" t="s">
        <v>156</v>
      </c>
      <c r="C64" s="4">
        <v>46905</v>
      </c>
      <c r="D64" s="3" t="s">
        <v>29</v>
      </c>
      <c r="E64" s="5">
        <v>25</v>
      </c>
      <c r="F64" s="5">
        <v>8</v>
      </c>
      <c r="G64" s="5">
        <v>8</v>
      </c>
      <c r="H64" s="5">
        <v>6</v>
      </c>
      <c r="I64" s="5">
        <v>3</v>
      </c>
      <c r="J64" s="5">
        <v>50</v>
      </c>
      <c r="K64" s="5">
        <v>5</v>
      </c>
      <c r="L64" s="5">
        <v>2</v>
      </c>
      <c r="M64" s="5">
        <v>3</v>
      </c>
      <c r="N64" s="5">
        <v>4</v>
      </c>
      <c r="O64" s="5">
        <v>53</v>
      </c>
      <c r="P64" s="6">
        <v>13.2</v>
      </c>
      <c r="Q64" s="5">
        <v>6</v>
      </c>
      <c r="R64" s="5">
        <v>6</v>
      </c>
      <c r="S64" s="5">
        <v>0</v>
      </c>
      <c r="T64" s="5">
        <v>198</v>
      </c>
      <c r="U64" s="7">
        <v>6178000</v>
      </c>
      <c r="V64" s="7">
        <v>3038000</v>
      </c>
      <c r="W64" s="7">
        <v>3368000</v>
      </c>
      <c r="X64" s="7">
        <v>740000</v>
      </c>
      <c r="Y64" s="7">
        <v>450000</v>
      </c>
      <c r="Z64" s="7">
        <v>2562000</v>
      </c>
      <c r="AA64" s="8">
        <f t="shared" si="1"/>
        <v>16336000</v>
      </c>
    </row>
    <row r="65" spans="1:27" ht="31">
      <c r="A65" s="2" t="s">
        <v>157</v>
      </c>
      <c r="B65" s="3" t="s">
        <v>158</v>
      </c>
      <c r="C65" s="4">
        <v>47270</v>
      </c>
      <c r="D65" s="3" t="s">
        <v>29</v>
      </c>
      <c r="E65" s="5">
        <v>21</v>
      </c>
      <c r="F65" s="5">
        <v>6</v>
      </c>
      <c r="G65" s="5">
        <v>8</v>
      </c>
      <c r="H65" s="5">
        <v>5</v>
      </c>
      <c r="I65" s="5">
        <v>3</v>
      </c>
      <c r="J65" s="5">
        <v>43</v>
      </c>
      <c r="K65" s="5">
        <v>7</v>
      </c>
      <c r="L65" s="5">
        <v>1</v>
      </c>
      <c r="M65" s="5">
        <v>2</v>
      </c>
      <c r="N65" s="5">
        <v>1</v>
      </c>
      <c r="O65" s="5">
        <v>56</v>
      </c>
      <c r="P65" s="6">
        <v>12.2</v>
      </c>
      <c r="Q65" s="5">
        <v>3</v>
      </c>
      <c r="R65" s="5">
        <v>3</v>
      </c>
      <c r="S65" s="5">
        <v>0</v>
      </c>
      <c r="T65" s="5">
        <v>142</v>
      </c>
      <c r="U65" s="7">
        <v>3871000</v>
      </c>
      <c r="V65" s="7">
        <v>1558000</v>
      </c>
      <c r="W65" s="7">
        <v>2422000</v>
      </c>
      <c r="X65" s="7">
        <v>341000</v>
      </c>
      <c r="Y65" s="7">
        <v>417000</v>
      </c>
      <c r="Z65" s="7">
        <v>2372000</v>
      </c>
      <c r="AA65" s="8">
        <f t="shared" si="1"/>
        <v>10981000</v>
      </c>
    </row>
    <row r="66" spans="1:27" ht="16">
      <c r="A66" s="2" t="s">
        <v>159</v>
      </c>
      <c r="B66" s="3" t="s">
        <v>160</v>
      </c>
      <c r="C66" s="4">
        <v>47270</v>
      </c>
      <c r="D66" s="3" t="s">
        <v>29</v>
      </c>
      <c r="E66" s="5">
        <v>27</v>
      </c>
      <c r="F66" s="5">
        <v>6</v>
      </c>
      <c r="G66" s="5">
        <v>8</v>
      </c>
      <c r="H66" s="5">
        <v>10</v>
      </c>
      <c r="I66" s="5">
        <v>3</v>
      </c>
      <c r="J66" s="5">
        <v>54</v>
      </c>
      <c r="K66" s="5">
        <v>10</v>
      </c>
      <c r="L66" s="5">
        <v>4</v>
      </c>
      <c r="M66" s="5">
        <v>1</v>
      </c>
      <c r="N66" s="5">
        <v>3</v>
      </c>
      <c r="O66" s="5">
        <v>78</v>
      </c>
      <c r="P66" s="6">
        <v>12.9</v>
      </c>
      <c r="Q66" s="5">
        <v>6</v>
      </c>
      <c r="R66" s="5">
        <v>4</v>
      </c>
      <c r="S66" s="5">
        <v>0</v>
      </c>
      <c r="T66" s="5">
        <v>173</v>
      </c>
      <c r="U66" s="7">
        <v>5512000</v>
      </c>
      <c r="V66" s="7">
        <v>2598000</v>
      </c>
      <c r="W66" s="7">
        <v>3223000</v>
      </c>
      <c r="X66" s="7">
        <v>315000</v>
      </c>
      <c r="Y66" s="7">
        <v>1016000</v>
      </c>
      <c r="Z66" s="7">
        <v>2221000</v>
      </c>
      <c r="AA66" s="8">
        <f t="shared" ref="AA66:AA97" si="2">SUM(U66:Z66)</f>
        <v>14885000</v>
      </c>
    </row>
    <row r="67" spans="1:27" ht="16">
      <c r="A67" s="2" t="s">
        <v>161</v>
      </c>
      <c r="B67" s="3" t="s">
        <v>162</v>
      </c>
      <c r="C67" s="4">
        <v>47270</v>
      </c>
      <c r="D67" s="3" t="s">
        <v>29</v>
      </c>
      <c r="E67" s="5">
        <v>33</v>
      </c>
      <c r="F67" s="5">
        <v>8</v>
      </c>
      <c r="G67" s="5">
        <v>8</v>
      </c>
      <c r="H67" s="5">
        <v>10</v>
      </c>
      <c r="I67" s="5">
        <v>6</v>
      </c>
      <c r="J67" s="5">
        <v>65</v>
      </c>
      <c r="K67" s="5">
        <v>10</v>
      </c>
      <c r="L67" s="5">
        <v>4</v>
      </c>
      <c r="M67" s="5">
        <v>3</v>
      </c>
      <c r="N67" s="5">
        <v>1</v>
      </c>
      <c r="O67" s="5">
        <v>98</v>
      </c>
      <c r="P67" s="6">
        <v>13.2</v>
      </c>
      <c r="Q67" s="5">
        <v>3</v>
      </c>
      <c r="R67" s="5">
        <v>3</v>
      </c>
      <c r="S67" s="5">
        <v>0</v>
      </c>
      <c r="T67" s="5">
        <v>219</v>
      </c>
      <c r="U67" s="7">
        <v>7559000</v>
      </c>
      <c r="V67" s="7">
        <v>3939000</v>
      </c>
      <c r="W67" s="7">
        <v>2672000</v>
      </c>
      <c r="X67" s="7">
        <v>509000</v>
      </c>
      <c r="Y67" s="7">
        <v>922000</v>
      </c>
      <c r="Z67" s="7">
        <v>3822000</v>
      </c>
      <c r="AA67" s="8">
        <f t="shared" si="2"/>
        <v>19423000</v>
      </c>
    </row>
    <row r="68" spans="1:27" ht="31">
      <c r="A68" s="2" t="s">
        <v>163</v>
      </c>
      <c r="B68" s="3" t="s">
        <v>164</v>
      </c>
      <c r="C68" s="4">
        <v>47270</v>
      </c>
      <c r="D68" s="3" t="s">
        <v>29</v>
      </c>
      <c r="E68" s="5">
        <v>14</v>
      </c>
      <c r="F68" s="5">
        <v>3</v>
      </c>
      <c r="G68" s="5">
        <v>7</v>
      </c>
      <c r="H68" s="5">
        <v>7</v>
      </c>
      <c r="I68" s="5">
        <v>3</v>
      </c>
      <c r="J68" s="5">
        <v>34</v>
      </c>
      <c r="K68" s="5">
        <v>3</v>
      </c>
      <c r="L68" s="5">
        <v>3</v>
      </c>
      <c r="M68" s="5">
        <v>0</v>
      </c>
      <c r="N68" s="5">
        <v>3</v>
      </c>
      <c r="O68" s="5">
        <v>8</v>
      </c>
      <c r="P68" s="6">
        <v>2.2999999999999998</v>
      </c>
      <c r="Q68" s="5">
        <v>1</v>
      </c>
      <c r="R68" s="5">
        <v>1</v>
      </c>
      <c r="S68" s="5">
        <v>0</v>
      </c>
      <c r="T68" s="5">
        <v>94</v>
      </c>
      <c r="U68" s="7">
        <v>1767000</v>
      </c>
      <c r="V68" s="7">
        <v>675000</v>
      </c>
      <c r="W68" s="7">
        <v>570000</v>
      </c>
      <c r="X68" s="7">
        <v>429000</v>
      </c>
      <c r="Y68" s="7">
        <v>588000</v>
      </c>
      <c r="Z68" s="7">
        <v>2200000</v>
      </c>
      <c r="AA68" s="8">
        <f t="shared" si="2"/>
        <v>6229000</v>
      </c>
    </row>
    <row r="69" spans="1:27" ht="16">
      <c r="A69" s="2" t="s">
        <v>165</v>
      </c>
      <c r="B69" s="3" t="s">
        <v>166</v>
      </c>
      <c r="C69" s="4">
        <v>47270</v>
      </c>
      <c r="D69" s="3" t="s">
        <v>34</v>
      </c>
      <c r="E69" s="5">
        <v>17</v>
      </c>
      <c r="F69" s="5">
        <v>7</v>
      </c>
      <c r="G69" s="5">
        <v>10</v>
      </c>
      <c r="H69" s="5">
        <v>6</v>
      </c>
      <c r="I69" s="5">
        <v>6</v>
      </c>
      <c r="J69" s="5">
        <v>46</v>
      </c>
      <c r="K69" s="5">
        <v>7</v>
      </c>
      <c r="L69" s="5">
        <v>1</v>
      </c>
      <c r="M69" s="5">
        <v>0</v>
      </c>
      <c r="N69" s="5">
        <v>1</v>
      </c>
      <c r="O69" s="5">
        <v>48</v>
      </c>
      <c r="P69" s="6">
        <v>5</v>
      </c>
      <c r="Q69" s="5">
        <v>6</v>
      </c>
      <c r="R69" s="5">
        <v>1</v>
      </c>
      <c r="S69" s="5">
        <v>0</v>
      </c>
      <c r="T69" s="5">
        <v>134</v>
      </c>
      <c r="U69" s="7">
        <v>3440000</v>
      </c>
      <c r="V69" s="7">
        <v>851000</v>
      </c>
      <c r="W69" s="7">
        <v>1934000</v>
      </c>
      <c r="X69" s="7">
        <v>347000</v>
      </c>
      <c r="Y69" s="7">
        <v>807000</v>
      </c>
      <c r="Z69" s="7">
        <v>1350000</v>
      </c>
      <c r="AA69" s="8">
        <f t="shared" si="2"/>
        <v>8729000</v>
      </c>
    </row>
    <row r="70" spans="1:27" ht="31">
      <c r="A70" s="2" t="s">
        <v>167</v>
      </c>
      <c r="B70" s="3" t="s">
        <v>168</v>
      </c>
      <c r="C70" s="4">
        <v>47270</v>
      </c>
      <c r="D70" s="3" t="s">
        <v>34</v>
      </c>
      <c r="E70" s="5">
        <v>17</v>
      </c>
      <c r="F70" s="5">
        <v>4</v>
      </c>
      <c r="G70" s="5">
        <v>7</v>
      </c>
      <c r="H70" s="5">
        <v>6</v>
      </c>
      <c r="I70" s="5">
        <v>5</v>
      </c>
      <c r="J70" s="5">
        <v>39</v>
      </c>
      <c r="K70" s="5">
        <v>5</v>
      </c>
      <c r="L70" s="5">
        <v>4</v>
      </c>
      <c r="M70" s="5">
        <v>1</v>
      </c>
      <c r="N70" s="5">
        <v>4</v>
      </c>
      <c r="O70" s="5">
        <v>19</v>
      </c>
      <c r="P70" s="6">
        <v>2.9</v>
      </c>
      <c r="Q70" s="5">
        <v>2</v>
      </c>
      <c r="R70" s="5">
        <v>4</v>
      </c>
      <c r="S70" s="5">
        <v>0</v>
      </c>
      <c r="T70" s="5">
        <v>159</v>
      </c>
      <c r="U70" s="7">
        <v>3386000</v>
      </c>
      <c r="V70" s="7">
        <v>1994000</v>
      </c>
      <c r="W70" s="7">
        <v>1144000</v>
      </c>
      <c r="X70" s="7">
        <v>468000</v>
      </c>
      <c r="Y70" s="7">
        <v>460000</v>
      </c>
      <c r="Z70" s="7">
        <v>2661000</v>
      </c>
      <c r="AA70" s="8">
        <f t="shared" si="2"/>
        <v>10113000</v>
      </c>
    </row>
    <row r="71" spans="1:27" ht="31">
      <c r="A71" s="2" t="s">
        <v>169</v>
      </c>
      <c r="B71" s="3" t="s">
        <v>170</v>
      </c>
      <c r="C71" s="4">
        <v>47270</v>
      </c>
      <c r="D71" s="3" t="s">
        <v>34</v>
      </c>
      <c r="E71" s="5">
        <v>15</v>
      </c>
      <c r="F71" s="5">
        <v>7</v>
      </c>
      <c r="G71" s="5">
        <v>5</v>
      </c>
      <c r="H71" s="5">
        <v>5</v>
      </c>
      <c r="I71" s="5">
        <v>5</v>
      </c>
      <c r="J71" s="5">
        <v>37</v>
      </c>
      <c r="K71" s="5">
        <v>6</v>
      </c>
      <c r="L71" s="5">
        <v>1</v>
      </c>
      <c r="M71" s="5">
        <v>1</v>
      </c>
      <c r="N71" s="5">
        <v>1</v>
      </c>
      <c r="O71" s="5">
        <v>31</v>
      </c>
      <c r="P71" s="6">
        <v>12.2</v>
      </c>
      <c r="Q71" s="5">
        <v>1</v>
      </c>
      <c r="R71" s="5">
        <v>2</v>
      </c>
      <c r="S71" s="5">
        <v>0</v>
      </c>
      <c r="T71" s="5">
        <v>150</v>
      </c>
      <c r="U71" s="7">
        <v>3125000</v>
      </c>
      <c r="V71" s="7">
        <v>1200000</v>
      </c>
      <c r="W71" s="7">
        <v>1877000</v>
      </c>
      <c r="X71" s="7">
        <v>491000</v>
      </c>
      <c r="Y71" s="7">
        <v>376000</v>
      </c>
      <c r="Z71" s="7">
        <v>2788000</v>
      </c>
      <c r="AA71" s="8">
        <f t="shared" si="2"/>
        <v>9857000</v>
      </c>
    </row>
    <row r="72" spans="1:27" ht="16">
      <c r="A72" s="2" t="s">
        <v>171</v>
      </c>
      <c r="B72" s="3" t="s">
        <v>172</v>
      </c>
      <c r="C72" s="4">
        <v>47270</v>
      </c>
      <c r="D72" s="3" t="s">
        <v>34</v>
      </c>
      <c r="E72" s="5">
        <v>22</v>
      </c>
      <c r="F72" s="5">
        <v>7</v>
      </c>
      <c r="G72" s="5">
        <v>8</v>
      </c>
      <c r="H72" s="5">
        <v>4</v>
      </c>
      <c r="I72" s="5">
        <v>2</v>
      </c>
      <c r="J72" s="5">
        <v>43</v>
      </c>
      <c r="K72" s="5">
        <v>4</v>
      </c>
      <c r="L72" s="5">
        <v>1</v>
      </c>
      <c r="M72" s="5">
        <v>1</v>
      </c>
      <c r="N72" s="5">
        <v>4</v>
      </c>
      <c r="O72" s="5">
        <v>22</v>
      </c>
      <c r="P72" s="6">
        <v>3.3</v>
      </c>
      <c r="Q72" s="5">
        <v>5</v>
      </c>
      <c r="R72" s="5">
        <v>5</v>
      </c>
      <c r="S72" s="5">
        <v>0</v>
      </c>
      <c r="T72" s="5">
        <v>151</v>
      </c>
      <c r="U72" s="7">
        <v>4376000</v>
      </c>
      <c r="V72" s="7">
        <v>1383000</v>
      </c>
      <c r="W72" s="7">
        <v>1850000</v>
      </c>
      <c r="X72" s="7">
        <v>337000</v>
      </c>
      <c r="Y72" s="7">
        <v>540000</v>
      </c>
      <c r="Z72" s="7">
        <v>1977000</v>
      </c>
      <c r="AA72" s="8">
        <f t="shared" si="2"/>
        <v>10463000</v>
      </c>
    </row>
    <row r="73" spans="1:27" ht="31">
      <c r="A73" s="2" t="s">
        <v>173</v>
      </c>
      <c r="B73" s="3" t="s">
        <v>174</v>
      </c>
      <c r="C73" s="4">
        <v>47270</v>
      </c>
      <c r="D73" s="3" t="s">
        <v>29</v>
      </c>
      <c r="E73" s="5">
        <v>14</v>
      </c>
      <c r="F73" s="5">
        <v>3</v>
      </c>
      <c r="G73" s="5">
        <v>9</v>
      </c>
      <c r="H73" s="5">
        <v>7</v>
      </c>
      <c r="I73" s="5">
        <v>5</v>
      </c>
      <c r="J73" s="5">
        <v>38</v>
      </c>
      <c r="K73" s="5">
        <v>7</v>
      </c>
      <c r="L73" s="5">
        <v>1</v>
      </c>
      <c r="M73" s="5">
        <v>0</v>
      </c>
      <c r="N73" s="5">
        <v>2</v>
      </c>
      <c r="O73" s="5">
        <v>59</v>
      </c>
      <c r="P73" s="6">
        <v>7.9</v>
      </c>
      <c r="Q73" s="5">
        <v>3</v>
      </c>
      <c r="R73" s="5">
        <v>1</v>
      </c>
      <c r="S73" s="5">
        <v>0</v>
      </c>
      <c r="T73" s="5">
        <v>156</v>
      </c>
      <c r="U73" s="7">
        <v>3735000</v>
      </c>
      <c r="V73" s="7">
        <v>1120000</v>
      </c>
      <c r="W73" s="7">
        <v>1747000</v>
      </c>
      <c r="X73" s="7">
        <v>246000</v>
      </c>
      <c r="Y73" s="7">
        <v>690000</v>
      </c>
      <c r="Z73" s="7">
        <v>922000</v>
      </c>
      <c r="AA73" s="8">
        <f t="shared" si="2"/>
        <v>8460000</v>
      </c>
    </row>
    <row r="74" spans="1:27" ht="16">
      <c r="A74" s="2" t="s">
        <v>175</v>
      </c>
      <c r="B74" s="3" t="s">
        <v>176</v>
      </c>
      <c r="C74" s="4">
        <v>47270</v>
      </c>
      <c r="D74" s="3" t="s">
        <v>29</v>
      </c>
      <c r="E74" s="5">
        <v>21</v>
      </c>
      <c r="F74" s="5">
        <v>3</v>
      </c>
      <c r="G74" s="5">
        <v>6</v>
      </c>
      <c r="H74" s="5">
        <v>8</v>
      </c>
      <c r="I74" s="5">
        <v>3</v>
      </c>
      <c r="J74" s="5">
        <v>41</v>
      </c>
      <c r="K74" s="5">
        <v>7</v>
      </c>
      <c r="L74" s="5">
        <v>3</v>
      </c>
      <c r="M74" s="5">
        <v>2</v>
      </c>
      <c r="N74" s="5">
        <v>1</v>
      </c>
      <c r="O74" s="5">
        <v>25</v>
      </c>
      <c r="P74" s="6">
        <v>11.8</v>
      </c>
      <c r="Q74" s="5">
        <v>1</v>
      </c>
      <c r="R74" s="5">
        <v>5</v>
      </c>
      <c r="S74" s="5">
        <v>0</v>
      </c>
      <c r="T74" s="5">
        <v>124</v>
      </c>
      <c r="U74" s="7">
        <v>2964000</v>
      </c>
      <c r="V74" s="7">
        <v>1586000</v>
      </c>
      <c r="W74" s="7">
        <v>2097000</v>
      </c>
      <c r="X74" s="7">
        <v>439000</v>
      </c>
      <c r="Y74" s="7">
        <v>767000</v>
      </c>
      <c r="Z74" s="7">
        <v>859000</v>
      </c>
      <c r="AA74" s="8">
        <f t="shared" si="2"/>
        <v>8712000</v>
      </c>
    </row>
    <row r="75" spans="1:27" ht="16">
      <c r="A75" s="2" t="s">
        <v>177</v>
      </c>
      <c r="B75" s="3" t="s">
        <v>178</v>
      </c>
      <c r="C75" s="4">
        <v>47270</v>
      </c>
      <c r="D75" s="3" t="s">
        <v>29</v>
      </c>
      <c r="E75" s="5">
        <v>15</v>
      </c>
      <c r="F75" s="5">
        <v>6</v>
      </c>
      <c r="G75" s="5">
        <v>5</v>
      </c>
      <c r="H75" s="5">
        <v>7</v>
      </c>
      <c r="I75" s="5">
        <v>3</v>
      </c>
      <c r="J75" s="5">
        <v>36</v>
      </c>
      <c r="K75" s="5">
        <v>3</v>
      </c>
      <c r="L75" s="5">
        <v>1</v>
      </c>
      <c r="M75" s="5">
        <v>1</v>
      </c>
      <c r="N75" s="5">
        <v>2</v>
      </c>
      <c r="O75" s="5">
        <v>31</v>
      </c>
      <c r="P75" s="6">
        <v>5.8</v>
      </c>
      <c r="Q75" s="5">
        <v>5</v>
      </c>
      <c r="R75" s="5">
        <v>2</v>
      </c>
      <c r="S75" s="5">
        <v>0</v>
      </c>
      <c r="T75" s="5">
        <v>184</v>
      </c>
      <c r="U75" s="7">
        <v>4233000</v>
      </c>
      <c r="V75" s="7">
        <v>1260000</v>
      </c>
      <c r="W75" s="7">
        <v>1881000</v>
      </c>
      <c r="X75" s="7">
        <v>349000</v>
      </c>
      <c r="Y75" s="7">
        <v>328000</v>
      </c>
      <c r="Z75" s="7">
        <v>1826000</v>
      </c>
      <c r="AA75" s="8">
        <f t="shared" si="2"/>
        <v>9877000</v>
      </c>
    </row>
    <row r="76" spans="1:27" ht="16">
      <c r="A76" s="2" t="s">
        <v>179</v>
      </c>
      <c r="B76" s="3" t="s">
        <v>180</v>
      </c>
      <c r="C76" s="4">
        <v>47270</v>
      </c>
      <c r="D76" s="3" t="s">
        <v>29</v>
      </c>
      <c r="E76" s="5">
        <v>14</v>
      </c>
      <c r="F76" s="5">
        <v>7</v>
      </c>
      <c r="G76" s="5">
        <v>8</v>
      </c>
      <c r="H76" s="5">
        <v>7</v>
      </c>
      <c r="I76" s="5">
        <v>3</v>
      </c>
      <c r="J76" s="5">
        <v>39</v>
      </c>
      <c r="K76" s="5">
        <v>7</v>
      </c>
      <c r="L76" s="5">
        <v>2</v>
      </c>
      <c r="M76" s="5">
        <v>2</v>
      </c>
      <c r="N76" s="5">
        <v>3</v>
      </c>
      <c r="O76" s="5">
        <v>46</v>
      </c>
      <c r="P76" s="6">
        <v>7</v>
      </c>
      <c r="Q76" s="5">
        <v>5</v>
      </c>
      <c r="R76" s="5">
        <v>2</v>
      </c>
      <c r="S76" s="5">
        <v>0</v>
      </c>
      <c r="T76" s="5">
        <v>134</v>
      </c>
      <c r="U76" s="7">
        <v>3548000</v>
      </c>
      <c r="V76" s="7">
        <v>1813000</v>
      </c>
      <c r="W76" s="7">
        <v>2067000</v>
      </c>
      <c r="X76" s="7">
        <v>392000</v>
      </c>
      <c r="Y76" s="7">
        <v>461000</v>
      </c>
      <c r="Z76" s="7">
        <v>812000</v>
      </c>
      <c r="AA76" s="8">
        <f t="shared" si="2"/>
        <v>9093000</v>
      </c>
    </row>
    <row r="77" spans="1:27" ht="31">
      <c r="A77" s="2" t="s">
        <v>181</v>
      </c>
      <c r="B77" s="3" t="s">
        <v>182</v>
      </c>
      <c r="C77" s="4">
        <v>47270</v>
      </c>
      <c r="D77" s="3" t="s">
        <v>48</v>
      </c>
      <c r="E77" s="5">
        <v>13</v>
      </c>
      <c r="F77" s="5">
        <v>3</v>
      </c>
      <c r="G77" s="5">
        <v>6</v>
      </c>
      <c r="H77" s="5">
        <v>7</v>
      </c>
      <c r="I77" s="5">
        <v>5</v>
      </c>
      <c r="J77" s="5">
        <v>34</v>
      </c>
      <c r="K77" s="5">
        <v>7</v>
      </c>
      <c r="L77" s="5">
        <v>1</v>
      </c>
      <c r="M77" s="5">
        <v>1</v>
      </c>
      <c r="N77" s="5">
        <v>3</v>
      </c>
      <c r="O77" s="5">
        <v>57</v>
      </c>
      <c r="P77" s="6">
        <v>6.9</v>
      </c>
      <c r="Q77" s="5">
        <v>1</v>
      </c>
      <c r="R77" s="5">
        <v>1</v>
      </c>
      <c r="S77" s="5">
        <v>0</v>
      </c>
      <c r="T77" s="5">
        <v>158</v>
      </c>
      <c r="U77" s="7">
        <v>3046000</v>
      </c>
      <c r="V77" s="7">
        <v>1629000</v>
      </c>
      <c r="W77" s="7">
        <v>1256000</v>
      </c>
      <c r="X77" s="7">
        <v>329000</v>
      </c>
      <c r="Y77" s="7">
        <v>606000</v>
      </c>
      <c r="Z77" s="7">
        <v>2400000</v>
      </c>
      <c r="AA77" s="8">
        <f t="shared" si="2"/>
        <v>9266000</v>
      </c>
    </row>
    <row r="78" spans="1:27" ht="31">
      <c r="A78" s="2" t="s">
        <v>183</v>
      </c>
      <c r="B78" s="3" t="s">
        <v>184</v>
      </c>
      <c r="C78" s="4">
        <v>47270</v>
      </c>
      <c r="D78" s="3" t="s">
        <v>48</v>
      </c>
      <c r="E78" s="5">
        <v>30</v>
      </c>
      <c r="F78" s="5">
        <v>4</v>
      </c>
      <c r="G78" s="5">
        <v>10</v>
      </c>
      <c r="H78" s="5">
        <v>8</v>
      </c>
      <c r="I78" s="5">
        <v>6</v>
      </c>
      <c r="J78" s="5">
        <v>58</v>
      </c>
      <c r="K78" s="5">
        <v>6</v>
      </c>
      <c r="L78" s="5">
        <v>2</v>
      </c>
      <c r="M78" s="5">
        <v>3</v>
      </c>
      <c r="N78" s="5">
        <v>3</v>
      </c>
      <c r="O78" s="5">
        <v>58</v>
      </c>
      <c r="P78" s="6">
        <v>14.2</v>
      </c>
      <c r="Q78" s="5">
        <v>3</v>
      </c>
      <c r="R78" s="5">
        <v>3</v>
      </c>
      <c r="S78" s="5">
        <v>0</v>
      </c>
      <c r="T78" s="5">
        <v>240</v>
      </c>
      <c r="U78" s="7">
        <v>7990000</v>
      </c>
      <c r="V78" s="7">
        <v>3643000</v>
      </c>
      <c r="W78" s="7">
        <v>2659000</v>
      </c>
      <c r="X78" s="7">
        <v>553000</v>
      </c>
      <c r="Y78" s="7">
        <v>1201000</v>
      </c>
      <c r="Z78" s="7">
        <v>3186000</v>
      </c>
      <c r="AA78" s="8">
        <f t="shared" si="2"/>
        <v>19232000</v>
      </c>
    </row>
    <row r="79" spans="1:27" ht="31">
      <c r="A79" s="2" t="s">
        <v>185</v>
      </c>
      <c r="B79" s="3" t="s">
        <v>186</v>
      </c>
      <c r="C79" s="4">
        <v>47270</v>
      </c>
      <c r="D79" s="3" t="s">
        <v>29</v>
      </c>
      <c r="E79" s="5">
        <v>16</v>
      </c>
      <c r="F79" s="5">
        <v>5</v>
      </c>
      <c r="G79" s="5">
        <v>7</v>
      </c>
      <c r="H79" s="5">
        <v>5</v>
      </c>
      <c r="I79" s="5">
        <v>3</v>
      </c>
      <c r="J79" s="5">
        <v>36</v>
      </c>
      <c r="K79" s="5">
        <v>3</v>
      </c>
      <c r="L79" s="5">
        <v>2</v>
      </c>
      <c r="M79" s="5">
        <v>1</v>
      </c>
      <c r="N79" s="5">
        <v>1</v>
      </c>
      <c r="O79" s="5">
        <v>22</v>
      </c>
      <c r="P79" s="6">
        <v>3.9</v>
      </c>
      <c r="Q79" s="5">
        <v>1</v>
      </c>
      <c r="R79" s="5">
        <v>1</v>
      </c>
      <c r="S79" s="5">
        <v>0</v>
      </c>
      <c r="T79" s="5">
        <v>105</v>
      </c>
      <c r="U79" s="7">
        <v>2011000</v>
      </c>
      <c r="V79" s="7">
        <v>728000</v>
      </c>
      <c r="W79" s="7">
        <v>799000</v>
      </c>
      <c r="X79" s="7">
        <v>431000</v>
      </c>
      <c r="Y79" s="7">
        <v>407000</v>
      </c>
      <c r="Z79" s="7">
        <v>2044000</v>
      </c>
      <c r="AA79" s="8">
        <f t="shared" si="2"/>
        <v>6420000</v>
      </c>
    </row>
    <row r="80" spans="1:27" ht="16">
      <c r="A80" s="2" t="s">
        <v>187</v>
      </c>
      <c r="B80" s="3" t="s">
        <v>188</v>
      </c>
      <c r="C80" s="4">
        <v>47483</v>
      </c>
      <c r="D80" s="3" t="s">
        <v>29</v>
      </c>
      <c r="E80" s="5">
        <v>27</v>
      </c>
      <c r="F80" s="5">
        <v>8</v>
      </c>
      <c r="G80" s="5">
        <v>10</v>
      </c>
      <c r="H80" s="5">
        <v>8</v>
      </c>
      <c r="I80" s="5">
        <v>3</v>
      </c>
      <c r="J80" s="5">
        <v>56</v>
      </c>
      <c r="K80" s="5">
        <v>5</v>
      </c>
      <c r="L80" s="5">
        <v>3</v>
      </c>
      <c r="M80" s="5">
        <v>3</v>
      </c>
      <c r="N80" s="5">
        <v>4</v>
      </c>
      <c r="O80" s="5">
        <v>37</v>
      </c>
      <c r="P80" s="6">
        <v>5.0999999999999996</v>
      </c>
      <c r="Q80" s="5">
        <v>8</v>
      </c>
      <c r="R80" s="5">
        <v>3</v>
      </c>
      <c r="S80" s="5">
        <v>0</v>
      </c>
      <c r="T80" s="5">
        <v>190</v>
      </c>
      <c r="U80" s="7">
        <v>6363000</v>
      </c>
      <c r="V80" s="7">
        <v>3088000</v>
      </c>
      <c r="W80" s="7">
        <v>2470000</v>
      </c>
      <c r="X80" s="7">
        <v>393000</v>
      </c>
      <c r="Y80" s="7">
        <v>541000</v>
      </c>
      <c r="Z80" s="7">
        <v>2085000</v>
      </c>
      <c r="AA80" s="8">
        <f t="shared" si="2"/>
        <v>14940000</v>
      </c>
    </row>
    <row r="81" spans="1:27" ht="31">
      <c r="A81" s="2" t="s">
        <v>189</v>
      </c>
      <c r="B81" s="3" t="s">
        <v>190</v>
      </c>
      <c r="C81" s="4">
        <v>47635</v>
      </c>
      <c r="D81" s="3" t="s">
        <v>191</v>
      </c>
      <c r="E81" s="5">
        <v>13</v>
      </c>
      <c r="F81" s="5">
        <v>7</v>
      </c>
      <c r="G81" s="5">
        <v>8</v>
      </c>
      <c r="H81" s="5">
        <v>5</v>
      </c>
      <c r="I81" s="5">
        <v>5</v>
      </c>
      <c r="J81" s="5">
        <v>38</v>
      </c>
      <c r="K81" s="5">
        <v>7</v>
      </c>
      <c r="L81" s="5">
        <v>2</v>
      </c>
      <c r="M81" s="5">
        <v>2</v>
      </c>
      <c r="N81" s="5">
        <v>1</v>
      </c>
      <c r="O81" s="5">
        <v>39</v>
      </c>
      <c r="P81" s="6">
        <v>5.5</v>
      </c>
      <c r="Q81" s="5">
        <v>2</v>
      </c>
      <c r="R81" s="5">
        <v>1</v>
      </c>
      <c r="S81" s="5">
        <v>0</v>
      </c>
      <c r="T81" s="5">
        <v>162</v>
      </c>
      <c r="U81" s="7">
        <v>4008000</v>
      </c>
      <c r="V81" s="7">
        <v>1925000</v>
      </c>
      <c r="W81" s="7">
        <v>1222000</v>
      </c>
      <c r="X81" s="7">
        <v>556000</v>
      </c>
      <c r="Y81" s="7">
        <v>856000</v>
      </c>
      <c r="Z81" s="7">
        <v>1142000</v>
      </c>
      <c r="AA81" s="8">
        <f t="shared" si="2"/>
        <v>9709000</v>
      </c>
    </row>
    <row r="82" spans="1:27" ht="16">
      <c r="A82" s="2" t="s">
        <v>192</v>
      </c>
      <c r="B82" s="3" t="s">
        <v>193</v>
      </c>
      <c r="C82" s="4">
        <v>47635</v>
      </c>
      <c r="D82" s="3" t="s">
        <v>29</v>
      </c>
      <c r="E82" s="5">
        <v>30</v>
      </c>
      <c r="F82" s="5">
        <v>8</v>
      </c>
      <c r="G82" s="5">
        <v>6</v>
      </c>
      <c r="H82" s="5">
        <v>10</v>
      </c>
      <c r="I82" s="5">
        <v>3</v>
      </c>
      <c r="J82" s="5">
        <v>57</v>
      </c>
      <c r="K82" s="5">
        <v>10</v>
      </c>
      <c r="L82" s="5">
        <v>4</v>
      </c>
      <c r="M82" s="5">
        <v>1</v>
      </c>
      <c r="N82" s="5">
        <v>3</v>
      </c>
      <c r="O82" s="5">
        <v>83</v>
      </c>
      <c r="P82" s="6">
        <v>17.5</v>
      </c>
      <c r="Q82" s="5">
        <v>2</v>
      </c>
      <c r="R82" s="5">
        <v>3</v>
      </c>
      <c r="S82" s="5">
        <v>0</v>
      </c>
      <c r="T82" s="5">
        <v>234</v>
      </c>
      <c r="U82" s="7">
        <v>8310000</v>
      </c>
      <c r="V82" s="7">
        <v>3514000</v>
      </c>
      <c r="W82" s="7">
        <v>2933000</v>
      </c>
      <c r="X82" s="7">
        <v>441000</v>
      </c>
      <c r="Y82" s="7">
        <v>558000</v>
      </c>
      <c r="Z82" s="7">
        <v>1148000</v>
      </c>
      <c r="AA82" s="8">
        <f t="shared" si="2"/>
        <v>16904000</v>
      </c>
    </row>
    <row r="83" spans="1:27" ht="31">
      <c r="A83" s="2" t="s">
        <v>194</v>
      </c>
      <c r="B83" s="3" t="s">
        <v>195</v>
      </c>
      <c r="C83" s="4">
        <v>47635</v>
      </c>
      <c r="D83" s="3" t="s">
        <v>29</v>
      </c>
      <c r="E83" s="5">
        <v>18</v>
      </c>
      <c r="F83" s="5">
        <v>9</v>
      </c>
      <c r="G83" s="5">
        <v>6</v>
      </c>
      <c r="H83" s="5">
        <v>4</v>
      </c>
      <c r="I83" s="5">
        <v>3</v>
      </c>
      <c r="J83" s="5">
        <v>40</v>
      </c>
      <c r="K83" s="5">
        <v>6</v>
      </c>
      <c r="L83" s="5">
        <v>3</v>
      </c>
      <c r="M83" s="5">
        <v>1</v>
      </c>
      <c r="N83" s="5">
        <v>3</v>
      </c>
      <c r="O83" s="5">
        <v>83</v>
      </c>
      <c r="P83" s="6">
        <v>10.5</v>
      </c>
      <c r="Q83" s="5">
        <v>5</v>
      </c>
      <c r="R83" s="5">
        <v>6</v>
      </c>
      <c r="S83" s="5">
        <v>0</v>
      </c>
      <c r="T83" s="5">
        <v>156</v>
      </c>
      <c r="U83" s="7">
        <v>3532000</v>
      </c>
      <c r="V83" s="7">
        <v>1789000</v>
      </c>
      <c r="W83" s="7">
        <v>2968000</v>
      </c>
      <c r="X83" s="7">
        <v>373000</v>
      </c>
      <c r="Y83" s="7">
        <v>890000</v>
      </c>
      <c r="Z83" s="7">
        <v>1122000</v>
      </c>
      <c r="AA83" s="8">
        <f t="shared" si="2"/>
        <v>10674000</v>
      </c>
    </row>
    <row r="84" spans="1:27" ht="16">
      <c r="A84" s="2" t="s">
        <v>196</v>
      </c>
      <c r="B84" s="3" t="s">
        <v>197</v>
      </c>
      <c r="C84" s="4">
        <v>47635</v>
      </c>
      <c r="D84" s="3" t="s">
        <v>29</v>
      </c>
      <c r="E84" s="5">
        <v>14</v>
      </c>
      <c r="F84" s="5">
        <v>5</v>
      </c>
      <c r="G84" s="5">
        <v>9</v>
      </c>
      <c r="H84" s="5">
        <v>8</v>
      </c>
      <c r="I84" s="5">
        <v>5</v>
      </c>
      <c r="J84" s="5">
        <v>41</v>
      </c>
      <c r="K84" s="5">
        <v>6</v>
      </c>
      <c r="L84" s="5">
        <v>3</v>
      </c>
      <c r="M84" s="5">
        <v>1</v>
      </c>
      <c r="N84" s="5">
        <v>1</v>
      </c>
      <c r="O84" s="5">
        <v>54</v>
      </c>
      <c r="P84" s="6">
        <v>5.4</v>
      </c>
      <c r="Q84" s="5">
        <v>6</v>
      </c>
      <c r="R84" s="5">
        <v>1</v>
      </c>
      <c r="S84" s="5">
        <v>0</v>
      </c>
      <c r="T84" s="5">
        <v>146</v>
      </c>
      <c r="U84" s="7">
        <v>3316000</v>
      </c>
      <c r="V84" s="7">
        <v>1433000</v>
      </c>
      <c r="W84" s="7">
        <v>1999000</v>
      </c>
      <c r="X84" s="7">
        <v>333000</v>
      </c>
      <c r="Y84" s="7">
        <v>492000</v>
      </c>
      <c r="Z84" s="7">
        <v>1697000</v>
      </c>
      <c r="AA84" s="8">
        <f t="shared" si="2"/>
        <v>9270000</v>
      </c>
    </row>
    <row r="85" spans="1:27" ht="31">
      <c r="A85" s="2" t="s">
        <v>198</v>
      </c>
      <c r="B85" s="3" t="s">
        <v>199</v>
      </c>
      <c r="C85" s="4">
        <v>47635</v>
      </c>
      <c r="D85" s="3" t="s">
        <v>29</v>
      </c>
      <c r="E85" s="5">
        <v>16</v>
      </c>
      <c r="F85" s="5">
        <v>6</v>
      </c>
      <c r="G85" s="5">
        <v>8</v>
      </c>
      <c r="H85" s="5">
        <v>5</v>
      </c>
      <c r="I85" s="5">
        <v>5</v>
      </c>
      <c r="J85" s="5">
        <v>40</v>
      </c>
      <c r="K85" s="5">
        <v>6</v>
      </c>
      <c r="L85" s="5">
        <v>3</v>
      </c>
      <c r="M85" s="5">
        <v>2</v>
      </c>
      <c r="N85" s="5">
        <v>1</v>
      </c>
      <c r="O85" s="5">
        <v>34</v>
      </c>
      <c r="P85" s="6">
        <v>7.1</v>
      </c>
      <c r="Q85" s="5">
        <v>1</v>
      </c>
      <c r="R85" s="5">
        <v>1</v>
      </c>
      <c r="S85" s="5">
        <v>0</v>
      </c>
      <c r="T85" s="5">
        <v>192</v>
      </c>
      <c r="U85" s="7">
        <v>4209000</v>
      </c>
      <c r="V85" s="7">
        <v>2328000</v>
      </c>
      <c r="W85" s="7">
        <v>1205000</v>
      </c>
      <c r="X85" s="7">
        <v>217000</v>
      </c>
      <c r="Y85" s="7">
        <v>357000</v>
      </c>
      <c r="Z85" s="7">
        <v>749000</v>
      </c>
      <c r="AA85" s="8">
        <f t="shared" si="2"/>
        <v>9065000</v>
      </c>
    </row>
    <row r="86" spans="1:27" ht="16">
      <c r="A86" s="2" t="s">
        <v>200</v>
      </c>
      <c r="B86" s="3" t="s">
        <v>201</v>
      </c>
      <c r="C86" s="4">
        <v>47635</v>
      </c>
      <c r="D86" s="3" t="s">
        <v>29</v>
      </c>
      <c r="E86" s="5">
        <v>15</v>
      </c>
      <c r="F86" s="5">
        <v>6</v>
      </c>
      <c r="G86" s="5">
        <v>9</v>
      </c>
      <c r="H86" s="5">
        <v>6</v>
      </c>
      <c r="I86" s="5">
        <v>4</v>
      </c>
      <c r="J86" s="5">
        <v>40</v>
      </c>
      <c r="K86" s="5">
        <v>8</v>
      </c>
      <c r="L86" s="5">
        <v>1</v>
      </c>
      <c r="M86" s="5">
        <v>1</v>
      </c>
      <c r="N86" s="5">
        <v>4</v>
      </c>
      <c r="O86" s="5">
        <v>7</v>
      </c>
      <c r="P86" s="6">
        <v>1.1000000000000001</v>
      </c>
      <c r="Q86" s="5">
        <v>3</v>
      </c>
      <c r="R86" s="5">
        <v>2</v>
      </c>
      <c r="S86" s="5">
        <v>5</v>
      </c>
      <c r="T86" s="5">
        <v>138</v>
      </c>
      <c r="U86" s="7">
        <v>3097000</v>
      </c>
      <c r="V86" s="7">
        <v>1628000</v>
      </c>
      <c r="W86" s="7">
        <v>2644000</v>
      </c>
      <c r="X86" s="7">
        <v>301000</v>
      </c>
      <c r="Y86" s="7">
        <v>763000</v>
      </c>
      <c r="Z86" s="7">
        <v>1998000</v>
      </c>
      <c r="AA86" s="8">
        <f t="shared" si="2"/>
        <v>10431000</v>
      </c>
    </row>
    <row r="87" spans="1:27" ht="31">
      <c r="A87" s="2" t="s">
        <v>202</v>
      </c>
      <c r="B87" s="3" t="s">
        <v>203</v>
      </c>
      <c r="C87" s="4">
        <v>47635</v>
      </c>
      <c r="D87" s="3" t="s">
        <v>29</v>
      </c>
      <c r="E87" s="5">
        <v>22</v>
      </c>
      <c r="F87" s="5">
        <v>6</v>
      </c>
      <c r="G87" s="5">
        <v>11</v>
      </c>
      <c r="H87" s="5">
        <v>8</v>
      </c>
      <c r="I87" s="5">
        <v>6</v>
      </c>
      <c r="J87" s="5">
        <v>53</v>
      </c>
      <c r="K87" s="5">
        <v>8</v>
      </c>
      <c r="L87" s="5">
        <v>3</v>
      </c>
      <c r="M87" s="5">
        <v>3</v>
      </c>
      <c r="N87" s="5">
        <v>4</v>
      </c>
      <c r="O87" s="5">
        <v>58</v>
      </c>
      <c r="P87" s="6">
        <v>13.4</v>
      </c>
      <c r="Q87" s="5">
        <v>8</v>
      </c>
      <c r="R87" s="5">
        <v>6</v>
      </c>
      <c r="S87" s="5">
        <v>0</v>
      </c>
      <c r="T87" s="5">
        <v>161</v>
      </c>
      <c r="U87" s="7">
        <v>5717000</v>
      </c>
      <c r="V87" s="7">
        <v>2935000</v>
      </c>
      <c r="W87" s="7">
        <v>3777000</v>
      </c>
      <c r="X87" s="7">
        <v>323000</v>
      </c>
      <c r="Y87" s="7">
        <v>882000</v>
      </c>
      <c r="Z87" s="7">
        <v>3432000</v>
      </c>
      <c r="AA87" s="8">
        <f t="shared" si="2"/>
        <v>17066000</v>
      </c>
    </row>
    <row r="88" spans="1:27" ht="31">
      <c r="A88" s="2" t="s">
        <v>204</v>
      </c>
      <c r="B88" s="3" t="s">
        <v>205</v>
      </c>
      <c r="C88" s="4">
        <v>47635</v>
      </c>
      <c r="D88" s="3" t="s">
        <v>29</v>
      </c>
      <c r="E88" s="5">
        <v>13</v>
      </c>
      <c r="F88" s="5">
        <v>5</v>
      </c>
      <c r="G88" s="5">
        <v>6</v>
      </c>
      <c r="H88" s="5">
        <v>5</v>
      </c>
      <c r="I88" s="5">
        <v>2</v>
      </c>
      <c r="J88" s="5">
        <v>31</v>
      </c>
      <c r="K88" s="5">
        <v>5</v>
      </c>
      <c r="L88" s="5">
        <v>1</v>
      </c>
      <c r="M88" s="5">
        <v>1</v>
      </c>
      <c r="N88" s="5">
        <v>2</v>
      </c>
      <c r="O88" s="5">
        <v>30</v>
      </c>
      <c r="P88" s="6">
        <v>7.6</v>
      </c>
      <c r="Q88" s="5">
        <v>5</v>
      </c>
      <c r="R88" s="5">
        <v>3</v>
      </c>
      <c r="S88" s="5">
        <v>0</v>
      </c>
      <c r="T88" s="5">
        <v>140</v>
      </c>
      <c r="U88" s="7">
        <v>2721000</v>
      </c>
      <c r="V88" s="7">
        <v>1143000</v>
      </c>
      <c r="W88" s="7">
        <v>2180000</v>
      </c>
      <c r="X88" s="7">
        <v>318000</v>
      </c>
      <c r="Y88" s="7">
        <v>297000</v>
      </c>
      <c r="Z88" s="7">
        <v>2349000</v>
      </c>
      <c r="AA88" s="8">
        <f t="shared" si="2"/>
        <v>9008000</v>
      </c>
    </row>
    <row r="89" spans="1:27" ht="16">
      <c r="A89" s="2" t="s">
        <v>206</v>
      </c>
      <c r="B89" s="3" t="s">
        <v>207</v>
      </c>
      <c r="C89" s="4">
        <v>47635</v>
      </c>
      <c r="D89" s="3" t="s">
        <v>29</v>
      </c>
      <c r="E89" s="5">
        <v>18</v>
      </c>
      <c r="F89" s="5">
        <v>3</v>
      </c>
      <c r="G89" s="5">
        <v>6</v>
      </c>
      <c r="H89" s="5">
        <v>5</v>
      </c>
      <c r="I89" s="5">
        <v>2</v>
      </c>
      <c r="J89" s="5">
        <v>34</v>
      </c>
      <c r="K89" s="5">
        <v>6</v>
      </c>
      <c r="L89" s="5">
        <v>1</v>
      </c>
      <c r="M89" s="5">
        <v>2</v>
      </c>
      <c r="N89" s="5">
        <v>2</v>
      </c>
      <c r="O89" s="5">
        <v>36</v>
      </c>
      <c r="P89" s="6">
        <v>9.4</v>
      </c>
      <c r="Q89" s="5">
        <v>3</v>
      </c>
      <c r="R89" s="5">
        <v>2</v>
      </c>
      <c r="S89" s="5">
        <v>0</v>
      </c>
      <c r="T89" s="5">
        <v>175</v>
      </c>
      <c r="U89" s="7">
        <v>3957000</v>
      </c>
      <c r="V89" s="7">
        <v>1949000</v>
      </c>
      <c r="W89" s="7">
        <v>1941000</v>
      </c>
      <c r="X89" s="7">
        <v>331000</v>
      </c>
      <c r="Y89" s="7">
        <v>390000</v>
      </c>
      <c r="Z89" s="7">
        <v>1983000</v>
      </c>
      <c r="AA89" s="8">
        <f t="shared" si="2"/>
        <v>10551000</v>
      </c>
    </row>
    <row r="90" spans="1:27" ht="16">
      <c r="A90" s="2" t="s">
        <v>208</v>
      </c>
      <c r="B90" s="3" t="s">
        <v>209</v>
      </c>
      <c r="C90" s="4">
        <v>47635</v>
      </c>
      <c r="D90" s="3" t="s">
        <v>34</v>
      </c>
      <c r="E90" s="5">
        <v>28</v>
      </c>
      <c r="F90" s="5">
        <v>8</v>
      </c>
      <c r="G90" s="5">
        <v>10</v>
      </c>
      <c r="H90" s="5">
        <v>9</v>
      </c>
      <c r="I90" s="5">
        <v>6</v>
      </c>
      <c r="J90" s="5">
        <v>61</v>
      </c>
      <c r="K90" s="5">
        <v>5</v>
      </c>
      <c r="L90" s="5">
        <v>4</v>
      </c>
      <c r="M90" s="5">
        <v>1</v>
      </c>
      <c r="N90" s="5">
        <v>1</v>
      </c>
      <c r="O90" s="5">
        <v>46</v>
      </c>
      <c r="P90" s="6">
        <v>16</v>
      </c>
      <c r="Q90" s="5">
        <v>3</v>
      </c>
      <c r="R90" s="5">
        <v>6</v>
      </c>
      <c r="S90" s="5">
        <v>0</v>
      </c>
      <c r="T90" s="5">
        <v>178</v>
      </c>
      <c r="U90" s="7">
        <v>6015000</v>
      </c>
      <c r="V90" s="7">
        <v>1792000</v>
      </c>
      <c r="W90" s="7">
        <v>3112000</v>
      </c>
      <c r="X90" s="7">
        <v>685000</v>
      </c>
      <c r="Y90" s="7">
        <v>469000</v>
      </c>
      <c r="Z90" s="7">
        <v>3180000</v>
      </c>
      <c r="AA90" s="8">
        <f t="shared" si="2"/>
        <v>15253000</v>
      </c>
    </row>
    <row r="91" spans="1:27" ht="31">
      <c r="A91" s="2" t="s">
        <v>210</v>
      </c>
      <c r="B91" s="3" t="s">
        <v>211</v>
      </c>
      <c r="C91" s="4">
        <v>47635</v>
      </c>
      <c r="D91" s="3" t="s">
        <v>34</v>
      </c>
      <c r="E91" s="5">
        <v>17</v>
      </c>
      <c r="F91" s="5">
        <v>9</v>
      </c>
      <c r="G91" s="5">
        <v>10</v>
      </c>
      <c r="H91" s="5">
        <v>4</v>
      </c>
      <c r="I91" s="5">
        <v>6</v>
      </c>
      <c r="J91" s="5">
        <v>46</v>
      </c>
      <c r="K91" s="5">
        <v>9</v>
      </c>
      <c r="L91" s="5">
        <v>4</v>
      </c>
      <c r="M91" s="5">
        <v>1</v>
      </c>
      <c r="N91" s="5">
        <v>1</v>
      </c>
      <c r="O91" s="5">
        <v>46</v>
      </c>
      <c r="P91" s="6">
        <v>10.9</v>
      </c>
      <c r="Q91" s="5">
        <v>7</v>
      </c>
      <c r="R91" s="5">
        <v>3</v>
      </c>
      <c r="S91" s="5">
        <v>0</v>
      </c>
      <c r="T91" s="5">
        <v>136</v>
      </c>
      <c r="U91" s="7">
        <v>3954000</v>
      </c>
      <c r="V91" s="7">
        <v>1728000</v>
      </c>
      <c r="W91" s="7">
        <v>2981000</v>
      </c>
      <c r="X91" s="7">
        <v>714000</v>
      </c>
      <c r="Y91" s="7">
        <v>851000</v>
      </c>
      <c r="Z91" s="7">
        <v>1036000</v>
      </c>
      <c r="AA91" s="8">
        <f t="shared" si="2"/>
        <v>11264000</v>
      </c>
    </row>
    <row r="92" spans="1:27" ht="31">
      <c r="A92" s="2" t="s">
        <v>212</v>
      </c>
      <c r="B92" s="3" t="s">
        <v>213</v>
      </c>
      <c r="C92" s="4">
        <v>47635</v>
      </c>
      <c r="D92" s="3" t="s">
        <v>34</v>
      </c>
      <c r="E92" s="5">
        <v>31</v>
      </c>
      <c r="F92" s="5">
        <v>8</v>
      </c>
      <c r="G92" s="5">
        <v>13</v>
      </c>
      <c r="H92" s="5">
        <v>9</v>
      </c>
      <c r="I92" s="5">
        <v>3</v>
      </c>
      <c r="J92" s="5">
        <v>64</v>
      </c>
      <c r="K92" s="5">
        <v>10</v>
      </c>
      <c r="L92" s="5">
        <v>2</v>
      </c>
      <c r="M92" s="5">
        <v>1</v>
      </c>
      <c r="N92" s="5">
        <v>1</v>
      </c>
      <c r="O92" s="5">
        <v>39</v>
      </c>
      <c r="P92" s="6">
        <v>10.5</v>
      </c>
      <c r="Q92" s="5">
        <v>3</v>
      </c>
      <c r="R92" s="5">
        <v>6</v>
      </c>
      <c r="S92" s="5">
        <v>0</v>
      </c>
      <c r="T92" s="5">
        <v>174</v>
      </c>
      <c r="U92" s="7">
        <v>7417000</v>
      </c>
      <c r="V92" s="7">
        <v>2010000</v>
      </c>
      <c r="W92" s="7">
        <v>2457000</v>
      </c>
      <c r="X92" s="7">
        <v>498000</v>
      </c>
      <c r="Y92" s="7">
        <v>1296000</v>
      </c>
      <c r="Z92" s="7">
        <v>1608000</v>
      </c>
      <c r="AA92" s="8">
        <f t="shared" si="2"/>
        <v>15286000</v>
      </c>
    </row>
    <row r="93" spans="1:27" ht="31">
      <c r="A93" s="2" t="s">
        <v>214</v>
      </c>
      <c r="B93" s="3" t="s">
        <v>215</v>
      </c>
      <c r="C93" s="4">
        <v>47635</v>
      </c>
      <c r="D93" s="3" t="s">
        <v>34</v>
      </c>
      <c r="E93" s="5">
        <v>23</v>
      </c>
      <c r="F93" s="5">
        <v>7</v>
      </c>
      <c r="G93" s="5">
        <v>6</v>
      </c>
      <c r="H93" s="5">
        <v>7</v>
      </c>
      <c r="I93" s="5">
        <v>6</v>
      </c>
      <c r="J93" s="5">
        <v>49</v>
      </c>
      <c r="K93" s="5">
        <v>7</v>
      </c>
      <c r="L93" s="5">
        <v>3</v>
      </c>
      <c r="M93" s="5">
        <v>3</v>
      </c>
      <c r="N93" s="5">
        <v>3</v>
      </c>
      <c r="O93" s="5">
        <v>48</v>
      </c>
      <c r="P93" s="6">
        <v>11.5</v>
      </c>
      <c r="Q93" s="5">
        <v>7</v>
      </c>
      <c r="R93" s="5">
        <v>6</v>
      </c>
      <c r="S93" s="5">
        <v>0</v>
      </c>
      <c r="T93" s="5">
        <v>164</v>
      </c>
      <c r="U93" s="7">
        <v>4653000</v>
      </c>
      <c r="V93" s="7">
        <v>2747000</v>
      </c>
      <c r="W93" s="7">
        <v>3341000</v>
      </c>
      <c r="X93" s="7">
        <v>474000</v>
      </c>
      <c r="Y93" s="7">
        <v>503000</v>
      </c>
      <c r="Z93" s="7">
        <v>1372000</v>
      </c>
      <c r="AA93" s="8">
        <f t="shared" si="2"/>
        <v>13090000</v>
      </c>
    </row>
    <row r="94" spans="1:27" ht="31">
      <c r="A94" s="2" t="s">
        <v>216</v>
      </c>
      <c r="B94" s="3" t="s">
        <v>217</v>
      </c>
      <c r="C94" s="4">
        <v>47635</v>
      </c>
      <c r="D94" s="3" t="s">
        <v>29</v>
      </c>
      <c r="E94" s="5">
        <v>13</v>
      </c>
      <c r="F94" s="5">
        <v>7</v>
      </c>
      <c r="G94" s="5">
        <v>5</v>
      </c>
      <c r="H94" s="5">
        <v>8</v>
      </c>
      <c r="I94" s="5">
        <v>5</v>
      </c>
      <c r="J94" s="5">
        <v>38</v>
      </c>
      <c r="K94" s="5">
        <v>6</v>
      </c>
      <c r="L94" s="5">
        <v>2</v>
      </c>
      <c r="M94" s="5">
        <v>0</v>
      </c>
      <c r="N94" s="5">
        <v>3</v>
      </c>
      <c r="O94" s="5">
        <v>49</v>
      </c>
      <c r="P94" s="6">
        <v>11.3</v>
      </c>
      <c r="Q94" s="5">
        <v>6</v>
      </c>
      <c r="R94" s="5">
        <v>1</v>
      </c>
      <c r="S94" s="5">
        <v>0</v>
      </c>
      <c r="T94" s="5">
        <v>146</v>
      </c>
      <c r="U94" s="7">
        <v>3673000</v>
      </c>
      <c r="V94" s="7">
        <v>1204000</v>
      </c>
      <c r="W94" s="7">
        <v>2661000</v>
      </c>
      <c r="X94" s="7">
        <v>259000</v>
      </c>
      <c r="Y94" s="7">
        <v>780000</v>
      </c>
      <c r="Z94" s="7">
        <v>1551000</v>
      </c>
      <c r="AA94" s="8">
        <f t="shared" si="2"/>
        <v>10128000</v>
      </c>
    </row>
    <row r="95" spans="1:27" ht="31">
      <c r="A95" s="2" t="s">
        <v>218</v>
      </c>
      <c r="B95" s="3" t="s">
        <v>219</v>
      </c>
      <c r="C95" s="4">
        <v>47635</v>
      </c>
      <c r="D95" s="3" t="s">
        <v>29</v>
      </c>
      <c r="E95" s="5">
        <v>16</v>
      </c>
      <c r="F95" s="5">
        <v>7</v>
      </c>
      <c r="G95" s="5">
        <v>9</v>
      </c>
      <c r="H95" s="5">
        <v>5</v>
      </c>
      <c r="I95" s="5">
        <v>3</v>
      </c>
      <c r="J95" s="5">
        <v>40</v>
      </c>
      <c r="K95" s="5">
        <v>6</v>
      </c>
      <c r="L95" s="5">
        <v>2</v>
      </c>
      <c r="M95" s="5">
        <v>0</v>
      </c>
      <c r="N95" s="5">
        <v>1</v>
      </c>
      <c r="O95" s="5">
        <v>32</v>
      </c>
      <c r="P95" s="6">
        <v>8.6</v>
      </c>
      <c r="Q95" s="5">
        <v>5</v>
      </c>
      <c r="R95" s="5">
        <v>5</v>
      </c>
      <c r="S95" s="5">
        <v>0</v>
      </c>
      <c r="T95" s="5">
        <v>174</v>
      </c>
      <c r="U95" s="7">
        <v>4552000</v>
      </c>
      <c r="V95" s="7">
        <v>1148000</v>
      </c>
      <c r="W95" s="7">
        <v>2491000</v>
      </c>
      <c r="X95" s="7">
        <v>212000</v>
      </c>
      <c r="Y95" s="7">
        <v>736000</v>
      </c>
      <c r="Z95" s="7">
        <v>761000</v>
      </c>
      <c r="AA95" s="8">
        <f t="shared" si="2"/>
        <v>9900000</v>
      </c>
    </row>
    <row r="96" spans="1:27" ht="31">
      <c r="A96" s="2" t="s">
        <v>220</v>
      </c>
      <c r="B96" s="3" t="s">
        <v>221</v>
      </c>
      <c r="C96" s="4">
        <v>47635</v>
      </c>
      <c r="D96" s="3" t="s">
        <v>41</v>
      </c>
      <c r="E96" s="5">
        <v>17</v>
      </c>
      <c r="F96" s="5">
        <v>8</v>
      </c>
      <c r="G96" s="5">
        <v>11</v>
      </c>
      <c r="H96" s="5">
        <v>9</v>
      </c>
      <c r="I96" s="5">
        <v>3</v>
      </c>
      <c r="J96" s="5">
        <v>48</v>
      </c>
      <c r="K96" s="5">
        <v>8</v>
      </c>
      <c r="L96" s="5">
        <v>2</v>
      </c>
      <c r="M96" s="5">
        <v>1</v>
      </c>
      <c r="N96" s="5">
        <v>1</v>
      </c>
      <c r="O96" s="5">
        <v>80</v>
      </c>
      <c r="P96" s="6">
        <v>17.5</v>
      </c>
      <c r="Q96" s="5">
        <v>6</v>
      </c>
      <c r="R96" s="5">
        <v>2</v>
      </c>
      <c r="S96" s="5">
        <v>0</v>
      </c>
      <c r="T96" s="5">
        <v>150</v>
      </c>
      <c r="U96" s="7">
        <v>3751000</v>
      </c>
      <c r="V96" s="7">
        <v>1535000</v>
      </c>
      <c r="W96" s="7">
        <v>3568000</v>
      </c>
      <c r="X96" s="7">
        <v>482000</v>
      </c>
      <c r="Y96" s="7">
        <v>1089000</v>
      </c>
      <c r="Z96" s="7">
        <v>2309000</v>
      </c>
      <c r="AA96" s="8">
        <f t="shared" si="2"/>
        <v>12734000</v>
      </c>
    </row>
    <row r="97" spans="1:27" ht="16">
      <c r="A97" s="2" t="s">
        <v>222</v>
      </c>
      <c r="B97" s="3" t="s">
        <v>223</v>
      </c>
      <c r="C97" s="4">
        <v>47635</v>
      </c>
      <c r="D97" s="3" t="s">
        <v>29</v>
      </c>
      <c r="E97" s="5">
        <v>20</v>
      </c>
      <c r="F97" s="5">
        <v>7</v>
      </c>
      <c r="G97" s="5">
        <v>8</v>
      </c>
      <c r="H97" s="5">
        <v>7</v>
      </c>
      <c r="I97" s="5">
        <v>2</v>
      </c>
      <c r="J97" s="5">
        <v>44</v>
      </c>
      <c r="K97" s="5">
        <v>5</v>
      </c>
      <c r="L97" s="5">
        <v>3</v>
      </c>
      <c r="M97" s="5">
        <v>0</v>
      </c>
      <c r="N97" s="5">
        <v>1</v>
      </c>
      <c r="O97" s="5">
        <v>36</v>
      </c>
      <c r="P97" s="6">
        <v>9.4</v>
      </c>
      <c r="Q97" s="5">
        <v>1</v>
      </c>
      <c r="R97" s="5">
        <v>5</v>
      </c>
      <c r="S97" s="5">
        <v>0</v>
      </c>
      <c r="T97" s="5">
        <v>125</v>
      </c>
      <c r="U97" s="7">
        <v>3130000</v>
      </c>
      <c r="V97" s="7">
        <v>856000</v>
      </c>
      <c r="W97" s="7">
        <v>1856000</v>
      </c>
      <c r="X97" s="7">
        <v>320000</v>
      </c>
      <c r="Y97" s="7">
        <v>827000</v>
      </c>
      <c r="Z97" s="7">
        <v>1053000</v>
      </c>
      <c r="AA97" s="8">
        <f t="shared" si="2"/>
        <v>8042000</v>
      </c>
    </row>
    <row r="98" spans="1:27" ht="16">
      <c r="A98" s="2" t="s">
        <v>224</v>
      </c>
      <c r="B98" s="3" t="s">
        <v>225</v>
      </c>
      <c r="C98" s="4">
        <v>47788</v>
      </c>
      <c r="D98" s="3" t="s">
        <v>29</v>
      </c>
      <c r="E98" s="5">
        <v>19</v>
      </c>
      <c r="F98" s="5">
        <v>8</v>
      </c>
      <c r="G98" s="5">
        <v>11</v>
      </c>
      <c r="H98" s="5">
        <v>4</v>
      </c>
      <c r="I98" s="5">
        <v>3</v>
      </c>
      <c r="J98" s="5">
        <v>45</v>
      </c>
      <c r="K98" s="5">
        <v>5</v>
      </c>
      <c r="L98" s="5">
        <v>1</v>
      </c>
      <c r="M98" s="5">
        <v>1</v>
      </c>
      <c r="N98" s="5">
        <v>4</v>
      </c>
      <c r="O98" s="5">
        <v>55</v>
      </c>
      <c r="P98" s="6">
        <v>4.8</v>
      </c>
      <c r="Q98" s="5">
        <v>3</v>
      </c>
      <c r="R98" s="5">
        <v>3</v>
      </c>
      <c r="S98" s="5">
        <v>0</v>
      </c>
      <c r="T98" s="5">
        <v>136</v>
      </c>
      <c r="U98" s="7">
        <v>4143000</v>
      </c>
      <c r="V98" s="7">
        <v>1335000</v>
      </c>
      <c r="W98" s="7">
        <v>1568000</v>
      </c>
      <c r="X98" s="7">
        <v>667000</v>
      </c>
      <c r="Y98" s="7">
        <v>941000</v>
      </c>
      <c r="Z98" s="7">
        <v>1585000</v>
      </c>
      <c r="AA98" s="8">
        <f t="shared" ref="AA98:AA129" si="3">SUM(U98:Z98)</f>
        <v>10239000</v>
      </c>
    </row>
    <row r="99" spans="1:27" ht="31">
      <c r="A99" s="2" t="s">
        <v>226</v>
      </c>
      <c r="B99" s="3" t="s">
        <v>227</v>
      </c>
      <c r="C99" s="4">
        <v>47848</v>
      </c>
      <c r="D99" s="3" t="s">
        <v>29</v>
      </c>
      <c r="E99" s="5">
        <v>15</v>
      </c>
      <c r="F99" s="5">
        <v>4</v>
      </c>
      <c r="G99" s="5">
        <v>6</v>
      </c>
      <c r="H99" s="5">
        <v>5</v>
      </c>
      <c r="I99" s="5">
        <v>2</v>
      </c>
      <c r="J99" s="5">
        <v>32</v>
      </c>
      <c r="K99" s="5">
        <v>3</v>
      </c>
      <c r="L99" s="5">
        <v>1</v>
      </c>
      <c r="M99" s="5">
        <v>0</v>
      </c>
      <c r="N99" s="5">
        <v>2</v>
      </c>
      <c r="O99" s="5">
        <v>43</v>
      </c>
      <c r="P99" s="6">
        <v>4.5999999999999996</v>
      </c>
      <c r="Q99" s="5">
        <v>4</v>
      </c>
      <c r="R99" s="5">
        <v>1</v>
      </c>
      <c r="S99" s="5">
        <v>0</v>
      </c>
      <c r="T99" s="5">
        <v>155</v>
      </c>
      <c r="U99" s="7">
        <v>3224000</v>
      </c>
      <c r="V99" s="7">
        <v>703000</v>
      </c>
      <c r="W99" s="7">
        <v>1502000</v>
      </c>
      <c r="X99" s="7">
        <v>397000</v>
      </c>
      <c r="Y99" s="7">
        <v>294000</v>
      </c>
      <c r="Z99" s="7">
        <v>2090000</v>
      </c>
      <c r="AA99" s="8">
        <f t="shared" si="3"/>
        <v>8210000</v>
      </c>
    </row>
    <row r="100" spans="1:27" ht="16">
      <c r="A100" s="2" t="s">
        <v>228</v>
      </c>
      <c r="B100" s="3" t="s">
        <v>229</v>
      </c>
      <c r="C100" s="4">
        <v>47848</v>
      </c>
      <c r="D100" s="3" t="s">
        <v>29</v>
      </c>
      <c r="E100" s="5">
        <v>9</v>
      </c>
      <c r="F100" s="5">
        <v>4</v>
      </c>
      <c r="G100" s="5">
        <v>4</v>
      </c>
      <c r="H100" s="5">
        <v>4</v>
      </c>
      <c r="I100" s="5">
        <v>2</v>
      </c>
      <c r="J100" s="5">
        <v>23</v>
      </c>
      <c r="K100" s="5">
        <v>4</v>
      </c>
      <c r="L100" s="5">
        <v>1</v>
      </c>
      <c r="M100" s="5">
        <v>1</v>
      </c>
      <c r="N100" s="5">
        <v>1</v>
      </c>
      <c r="O100" s="5">
        <v>7</v>
      </c>
      <c r="P100" s="6">
        <v>0.8</v>
      </c>
      <c r="Q100" s="5">
        <v>1</v>
      </c>
      <c r="R100" s="5">
        <v>3</v>
      </c>
      <c r="S100" s="5">
        <v>0</v>
      </c>
      <c r="T100" s="5">
        <v>123</v>
      </c>
      <c r="U100" s="7">
        <v>1652000</v>
      </c>
      <c r="V100" s="7">
        <v>822000</v>
      </c>
      <c r="W100" s="7">
        <v>584000</v>
      </c>
      <c r="X100" s="7">
        <v>357000</v>
      </c>
      <c r="Y100" s="7">
        <v>189000</v>
      </c>
      <c r="Z100" s="7">
        <v>734000</v>
      </c>
      <c r="AA100" s="8">
        <f t="shared" si="3"/>
        <v>4338000</v>
      </c>
    </row>
    <row r="101" spans="1:27" ht="16">
      <c r="A101" s="2" t="s">
        <v>230</v>
      </c>
      <c r="B101" s="3" t="s">
        <v>231</v>
      </c>
      <c r="C101" s="4">
        <v>47969</v>
      </c>
      <c r="D101" s="3" t="s">
        <v>29</v>
      </c>
      <c r="E101" s="5">
        <v>30</v>
      </c>
      <c r="F101" s="5">
        <v>8</v>
      </c>
      <c r="G101" s="5">
        <v>6</v>
      </c>
      <c r="H101" s="5">
        <v>10</v>
      </c>
      <c r="I101" s="5">
        <v>4</v>
      </c>
      <c r="J101" s="5">
        <v>58</v>
      </c>
      <c r="K101" s="5">
        <v>8</v>
      </c>
      <c r="L101" s="5">
        <v>2</v>
      </c>
      <c r="M101" s="5">
        <v>1</v>
      </c>
      <c r="N101" s="5">
        <v>3</v>
      </c>
      <c r="O101" s="5">
        <v>60</v>
      </c>
      <c r="P101" s="6">
        <v>9.4</v>
      </c>
      <c r="Q101" s="5">
        <v>5</v>
      </c>
      <c r="R101" s="5">
        <v>3</v>
      </c>
      <c r="S101" s="5">
        <v>0</v>
      </c>
      <c r="T101" s="5">
        <v>232</v>
      </c>
      <c r="U101" s="7">
        <v>7966000</v>
      </c>
      <c r="V101" s="7">
        <v>2756000</v>
      </c>
      <c r="W101" s="7">
        <v>2483000</v>
      </c>
      <c r="X101" s="7">
        <v>828000</v>
      </c>
      <c r="Y101" s="7">
        <v>988000</v>
      </c>
      <c r="Z101" s="7">
        <v>2311000</v>
      </c>
      <c r="AA101" s="8">
        <f t="shared" si="3"/>
        <v>17332000</v>
      </c>
    </row>
    <row r="102" spans="1:27" ht="16">
      <c r="A102" s="2" t="s">
        <v>232</v>
      </c>
      <c r="B102" s="3" t="s">
        <v>233</v>
      </c>
      <c r="C102" s="4">
        <v>48000</v>
      </c>
      <c r="D102" s="3" t="s">
        <v>29</v>
      </c>
      <c r="E102" s="5">
        <v>15</v>
      </c>
      <c r="F102" s="5">
        <v>7</v>
      </c>
      <c r="G102" s="5">
        <v>5</v>
      </c>
      <c r="H102" s="5">
        <v>3</v>
      </c>
      <c r="I102" s="5">
        <v>3</v>
      </c>
      <c r="J102" s="5">
        <v>33</v>
      </c>
      <c r="K102" s="5">
        <v>3</v>
      </c>
      <c r="L102" s="5">
        <v>3</v>
      </c>
      <c r="M102" s="5">
        <v>2</v>
      </c>
      <c r="N102" s="5">
        <v>3</v>
      </c>
      <c r="O102" s="5">
        <v>53</v>
      </c>
      <c r="P102" s="6">
        <v>4.5</v>
      </c>
      <c r="Q102" s="5">
        <v>5</v>
      </c>
      <c r="R102" s="5">
        <v>2</v>
      </c>
      <c r="S102" s="5">
        <v>0</v>
      </c>
      <c r="T102" s="5">
        <v>182</v>
      </c>
      <c r="U102" s="7">
        <v>3568000</v>
      </c>
      <c r="V102" s="7">
        <v>2147000</v>
      </c>
      <c r="W102" s="7">
        <v>1802000</v>
      </c>
      <c r="X102" s="7">
        <v>481000</v>
      </c>
      <c r="Y102" s="7">
        <v>371000</v>
      </c>
      <c r="Z102" s="7">
        <v>2361000</v>
      </c>
      <c r="AA102" s="8">
        <f t="shared" si="3"/>
        <v>10730000</v>
      </c>
    </row>
    <row r="103" spans="1:27" ht="16">
      <c r="A103" s="2" t="s">
        <v>234</v>
      </c>
      <c r="B103" s="3" t="s">
        <v>235</v>
      </c>
      <c r="C103" s="4">
        <v>48000</v>
      </c>
      <c r="D103" s="3" t="s">
        <v>29</v>
      </c>
      <c r="E103" s="5">
        <v>30</v>
      </c>
      <c r="F103" s="5">
        <v>4</v>
      </c>
      <c r="G103" s="5">
        <v>6</v>
      </c>
      <c r="H103" s="5">
        <v>9</v>
      </c>
      <c r="I103" s="5">
        <v>4</v>
      </c>
      <c r="J103" s="5">
        <v>53</v>
      </c>
      <c r="K103" s="5">
        <v>8</v>
      </c>
      <c r="L103" s="5">
        <v>2</v>
      </c>
      <c r="M103" s="5">
        <v>0</v>
      </c>
      <c r="N103" s="5">
        <v>3</v>
      </c>
      <c r="O103" s="5">
        <v>28</v>
      </c>
      <c r="P103" s="6">
        <v>3.7</v>
      </c>
      <c r="Q103" s="5">
        <v>2</v>
      </c>
      <c r="R103" s="5">
        <v>2</v>
      </c>
      <c r="S103" s="5">
        <v>0</v>
      </c>
      <c r="T103" s="5">
        <v>244</v>
      </c>
      <c r="U103" s="7">
        <v>8522000</v>
      </c>
      <c r="V103" s="7">
        <v>2335000</v>
      </c>
      <c r="W103" s="7">
        <v>1075000</v>
      </c>
      <c r="X103" s="7">
        <v>471000</v>
      </c>
      <c r="Y103" s="7">
        <v>1223000</v>
      </c>
      <c r="Z103" s="7">
        <v>3250000</v>
      </c>
      <c r="AA103" s="8">
        <f t="shared" si="3"/>
        <v>16876000</v>
      </c>
    </row>
    <row r="104" spans="1:27" ht="31">
      <c r="A104" s="2" t="s">
        <v>236</v>
      </c>
      <c r="B104" s="3" t="s">
        <v>237</v>
      </c>
      <c r="C104" s="4">
        <v>48000</v>
      </c>
      <c r="D104" s="3" t="s">
        <v>29</v>
      </c>
      <c r="E104" s="5">
        <v>40</v>
      </c>
      <c r="F104" s="5">
        <v>8</v>
      </c>
      <c r="G104" s="5">
        <v>11</v>
      </c>
      <c r="H104" s="5">
        <v>10</v>
      </c>
      <c r="I104" s="5">
        <v>6</v>
      </c>
      <c r="J104" s="5">
        <v>75</v>
      </c>
      <c r="K104" s="5">
        <v>6</v>
      </c>
      <c r="L104" s="5">
        <v>2</v>
      </c>
      <c r="M104" s="5">
        <v>0</v>
      </c>
      <c r="N104" s="5">
        <v>4</v>
      </c>
      <c r="O104" s="5">
        <v>117</v>
      </c>
      <c r="P104" s="6">
        <v>12</v>
      </c>
      <c r="Q104" s="5">
        <v>8</v>
      </c>
      <c r="R104" s="5">
        <v>3</v>
      </c>
      <c r="S104" s="5">
        <v>0</v>
      </c>
      <c r="T104" s="5">
        <v>307</v>
      </c>
      <c r="U104" s="7">
        <v>15381000</v>
      </c>
      <c r="V104" s="7">
        <v>2786000</v>
      </c>
      <c r="W104" s="7">
        <v>3519000</v>
      </c>
      <c r="X104" s="7">
        <v>537000</v>
      </c>
      <c r="Y104" s="7">
        <v>1569000</v>
      </c>
      <c r="Z104" s="7">
        <v>2111000</v>
      </c>
      <c r="AA104" s="8">
        <f t="shared" si="3"/>
        <v>25903000</v>
      </c>
    </row>
    <row r="105" spans="1:27" ht="16">
      <c r="A105" s="2" t="s">
        <v>238</v>
      </c>
      <c r="B105" s="3" t="s">
        <v>239</v>
      </c>
      <c r="C105" s="4">
        <v>48366</v>
      </c>
      <c r="D105" s="3" t="s">
        <v>41</v>
      </c>
      <c r="E105" s="5">
        <v>12</v>
      </c>
      <c r="F105" s="5">
        <v>5</v>
      </c>
      <c r="G105" s="5">
        <v>7</v>
      </c>
      <c r="H105" s="5">
        <v>8</v>
      </c>
      <c r="I105" s="5">
        <v>5</v>
      </c>
      <c r="J105" s="5">
        <v>37</v>
      </c>
      <c r="K105" s="5">
        <v>6</v>
      </c>
      <c r="L105" s="5">
        <v>2</v>
      </c>
      <c r="M105" s="5">
        <v>0</v>
      </c>
      <c r="N105" s="5">
        <v>4</v>
      </c>
      <c r="O105" s="5">
        <v>17</v>
      </c>
      <c r="P105" s="6">
        <v>2.7</v>
      </c>
      <c r="Q105" s="5">
        <v>6</v>
      </c>
      <c r="R105" s="5">
        <v>1</v>
      </c>
      <c r="S105" s="5">
        <v>0</v>
      </c>
      <c r="T105" s="5">
        <v>111</v>
      </c>
      <c r="U105" s="7">
        <v>2608000</v>
      </c>
      <c r="V105" s="7">
        <v>1007000</v>
      </c>
      <c r="W105" s="7">
        <v>1570000</v>
      </c>
      <c r="X105" s="7">
        <v>376000</v>
      </c>
      <c r="Y105" s="7">
        <v>745000</v>
      </c>
      <c r="Z105" s="7">
        <v>2454000</v>
      </c>
      <c r="AA105" s="8">
        <f t="shared" si="3"/>
        <v>8760000</v>
      </c>
    </row>
    <row r="106" spans="1:27" ht="16">
      <c r="A106" s="2" t="s">
        <v>240</v>
      </c>
      <c r="B106" s="3" t="s">
        <v>241</v>
      </c>
      <c r="C106" s="4">
        <v>48366</v>
      </c>
      <c r="D106" s="3" t="s">
        <v>48</v>
      </c>
      <c r="E106" s="5">
        <v>18</v>
      </c>
      <c r="F106" s="5">
        <v>3</v>
      </c>
      <c r="G106" s="5">
        <v>5</v>
      </c>
      <c r="H106" s="5">
        <v>7</v>
      </c>
      <c r="I106" s="5">
        <v>3</v>
      </c>
      <c r="J106" s="5">
        <v>36</v>
      </c>
      <c r="K106" s="5">
        <v>5</v>
      </c>
      <c r="L106" s="5">
        <v>2</v>
      </c>
      <c r="M106" s="5">
        <v>1</v>
      </c>
      <c r="N106" s="5">
        <v>1</v>
      </c>
      <c r="O106" s="5">
        <v>40</v>
      </c>
      <c r="P106" s="6">
        <v>6</v>
      </c>
      <c r="Q106" s="5">
        <v>6</v>
      </c>
      <c r="R106" s="5">
        <v>2</v>
      </c>
      <c r="S106" s="5">
        <v>0</v>
      </c>
      <c r="T106" s="5">
        <v>109</v>
      </c>
      <c r="U106" s="7">
        <v>2178000</v>
      </c>
      <c r="V106" s="7">
        <v>899000</v>
      </c>
      <c r="W106" s="7">
        <v>2118000</v>
      </c>
      <c r="X106" s="7">
        <v>370000</v>
      </c>
      <c r="Y106" s="7">
        <v>381000</v>
      </c>
      <c r="Z106" s="7">
        <v>2014000</v>
      </c>
      <c r="AA106" s="8">
        <f t="shared" si="3"/>
        <v>7960000</v>
      </c>
    </row>
    <row r="107" spans="1:27" ht="31">
      <c r="A107" s="2" t="s">
        <v>242</v>
      </c>
      <c r="B107" s="3" t="s">
        <v>243</v>
      </c>
      <c r="C107" s="4">
        <v>48731</v>
      </c>
      <c r="D107" s="3" t="s">
        <v>29</v>
      </c>
      <c r="E107" s="5">
        <v>19</v>
      </c>
      <c r="F107" s="5">
        <v>4</v>
      </c>
      <c r="G107" s="5">
        <v>12</v>
      </c>
      <c r="H107" s="5">
        <v>4</v>
      </c>
      <c r="I107" s="5">
        <v>4</v>
      </c>
      <c r="J107" s="5">
        <v>43</v>
      </c>
      <c r="K107" s="5">
        <v>4</v>
      </c>
      <c r="L107" s="5">
        <v>3</v>
      </c>
      <c r="M107" s="5">
        <v>0</v>
      </c>
      <c r="N107" s="5">
        <v>3</v>
      </c>
      <c r="O107" s="5">
        <v>49</v>
      </c>
      <c r="P107" s="6">
        <v>5.9</v>
      </c>
      <c r="Q107" s="5">
        <v>1</v>
      </c>
      <c r="R107" s="5">
        <v>6</v>
      </c>
      <c r="S107" s="5">
        <v>0</v>
      </c>
      <c r="T107" s="5">
        <v>214</v>
      </c>
      <c r="U107" s="7">
        <v>5751000</v>
      </c>
      <c r="V107" s="7">
        <v>1677000</v>
      </c>
      <c r="W107" s="7">
        <v>1590000</v>
      </c>
      <c r="X107" s="7">
        <v>346000</v>
      </c>
      <c r="Y107" s="7">
        <v>570000</v>
      </c>
      <c r="Z107" s="7">
        <v>2011000</v>
      </c>
      <c r="AA107" s="8">
        <f t="shared" si="3"/>
        <v>11945000</v>
      </c>
    </row>
    <row r="108" spans="1:27" ht="31">
      <c r="A108" s="2" t="s">
        <v>244</v>
      </c>
      <c r="B108" s="3" t="s">
        <v>245</v>
      </c>
      <c r="C108" s="4">
        <v>48731</v>
      </c>
      <c r="D108" s="3" t="s">
        <v>29</v>
      </c>
      <c r="E108" s="5">
        <v>16</v>
      </c>
      <c r="F108" s="5">
        <v>5</v>
      </c>
      <c r="G108" s="5">
        <v>8</v>
      </c>
      <c r="H108" s="5">
        <v>6</v>
      </c>
      <c r="I108" s="5">
        <v>2</v>
      </c>
      <c r="J108" s="5">
        <v>37</v>
      </c>
      <c r="K108" s="5">
        <v>6</v>
      </c>
      <c r="L108" s="5">
        <v>3</v>
      </c>
      <c r="M108" s="5">
        <v>2</v>
      </c>
      <c r="N108" s="5">
        <v>1</v>
      </c>
      <c r="O108" s="5">
        <v>55</v>
      </c>
      <c r="P108" s="6">
        <v>11.1</v>
      </c>
      <c r="Q108" s="5">
        <v>5</v>
      </c>
      <c r="R108" s="5">
        <v>2</v>
      </c>
      <c r="S108" s="5">
        <v>0</v>
      </c>
      <c r="T108" s="5">
        <v>122</v>
      </c>
      <c r="U108" s="7">
        <v>2587000</v>
      </c>
      <c r="V108" s="7">
        <v>1480000</v>
      </c>
      <c r="W108" s="7">
        <v>2568000</v>
      </c>
      <c r="X108" s="7">
        <v>246000</v>
      </c>
      <c r="Y108" s="7">
        <v>851000</v>
      </c>
      <c r="Z108" s="7">
        <v>1703000</v>
      </c>
      <c r="AA108" s="8">
        <f t="shared" si="3"/>
        <v>9435000</v>
      </c>
    </row>
    <row r="109" spans="1:27" ht="31">
      <c r="A109" s="2" t="s">
        <v>246</v>
      </c>
      <c r="B109" s="3" t="s">
        <v>247</v>
      </c>
      <c r="C109" s="4">
        <v>48731</v>
      </c>
      <c r="D109" s="3" t="s">
        <v>29</v>
      </c>
      <c r="E109" s="5">
        <v>17</v>
      </c>
      <c r="F109" s="5">
        <v>7</v>
      </c>
      <c r="G109" s="5">
        <v>7</v>
      </c>
      <c r="H109" s="5">
        <v>8</v>
      </c>
      <c r="I109" s="5">
        <v>3</v>
      </c>
      <c r="J109" s="5">
        <v>42</v>
      </c>
      <c r="K109" s="5">
        <v>5</v>
      </c>
      <c r="L109" s="5">
        <v>2</v>
      </c>
      <c r="M109" s="5">
        <v>2</v>
      </c>
      <c r="N109" s="5">
        <v>3</v>
      </c>
      <c r="O109" s="5">
        <v>59</v>
      </c>
      <c r="P109" s="6">
        <v>9.9</v>
      </c>
      <c r="Q109" s="5">
        <v>5</v>
      </c>
      <c r="R109" s="5">
        <v>3</v>
      </c>
      <c r="S109" s="5">
        <v>0</v>
      </c>
      <c r="T109" s="5">
        <v>178</v>
      </c>
      <c r="U109" s="7">
        <v>4590000</v>
      </c>
      <c r="V109" s="7">
        <v>2173000</v>
      </c>
      <c r="W109" s="7">
        <v>2537000</v>
      </c>
      <c r="X109" s="7">
        <v>407000</v>
      </c>
      <c r="Y109" s="7">
        <v>550000</v>
      </c>
      <c r="Z109" s="7">
        <v>1000000</v>
      </c>
      <c r="AA109" s="8">
        <f t="shared" si="3"/>
        <v>11257000</v>
      </c>
    </row>
    <row r="110" spans="1:27" ht="31">
      <c r="A110" s="2" t="s">
        <v>248</v>
      </c>
      <c r="B110" s="3" t="s">
        <v>249</v>
      </c>
      <c r="C110" s="4">
        <v>48731</v>
      </c>
      <c r="D110" s="3" t="s">
        <v>34</v>
      </c>
      <c r="E110" s="5">
        <v>30</v>
      </c>
      <c r="F110" s="5">
        <v>4</v>
      </c>
      <c r="G110" s="5">
        <v>6</v>
      </c>
      <c r="H110" s="5">
        <v>4</v>
      </c>
      <c r="I110" s="5">
        <v>6</v>
      </c>
      <c r="J110" s="5">
        <v>50</v>
      </c>
      <c r="K110" s="5">
        <v>10</v>
      </c>
      <c r="L110" s="5">
        <v>3</v>
      </c>
      <c r="M110" s="5">
        <v>0</v>
      </c>
      <c r="N110" s="5">
        <v>3</v>
      </c>
      <c r="O110" s="5">
        <v>47</v>
      </c>
      <c r="P110" s="6">
        <v>14.3</v>
      </c>
      <c r="Q110" s="5">
        <v>6</v>
      </c>
      <c r="R110" s="5">
        <v>2</v>
      </c>
      <c r="S110" s="5">
        <v>0</v>
      </c>
      <c r="T110" s="5">
        <v>199</v>
      </c>
      <c r="U110" s="7">
        <v>5552000</v>
      </c>
      <c r="V110" s="7">
        <v>2348000</v>
      </c>
      <c r="W110" s="7">
        <v>3095000</v>
      </c>
      <c r="X110" s="7">
        <v>674000</v>
      </c>
      <c r="Y110" s="7">
        <v>532000</v>
      </c>
      <c r="Z110" s="7">
        <v>3649000</v>
      </c>
      <c r="AA110" s="8">
        <f t="shared" si="3"/>
        <v>15850000</v>
      </c>
    </row>
    <row r="111" spans="1:27" ht="31">
      <c r="A111" s="2" t="s">
        <v>250</v>
      </c>
      <c r="B111" s="3" t="s">
        <v>251</v>
      </c>
      <c r="C111" s="4">
        <v>48731</v>
      </c>
      <c r="D111" s="3" t="s">
        <v>34</v>
      </c>
      <c r="E111" s="5">
        <v>25</v>
      </c>
      <c r="F111" s="5">
        <v>4</v>
      </c>
      <c r="G111" s="5">
        <v>13</v>
      </c>
      <c r="H111" s="5">
        <v>4</v>
      </c>
      <c r="I111" s="5">
        <v>6</v>
      </c>
      <c r="J111" s="5">
        <v>52</v>
      </c>
      <c r="K111" s="5">
        <v>8</v>
      </c>
      <c r="L111" s="5">
        <v>4</v>
      </c>
      <c r="M111" s="5">
        <v>3</v>
      </c>
      <c r="N111" s="5">
        <v>3</v>
      </c>
      <c r="O111" s="5">
        <v>50</v>
      </c>
      <c r="P111" s="6">
        <v>8.9</v>
      </c>
      <c r="Q111" s="5">
        <v>8</v>
      </c>
      <c r="R111" s="5">
        <v>3</v>
      </c>
      <c r="S111" s="5">
        <v>0</v>
      </c>
      <c r="T111" s="5">
        <v>202</v>
      </c>
      <c r="U111" s="7">
        <v>7080000</v>
      </c>
      <c r="V111" s="7">
        <v>3700000</v>
      </c>
      <c r="W111" s="7">
        <v>2948000</v>
      </c>
      <c r="X111" s="7">
        <v>625000</v>
      </c>
      <c r="Y111" s="7">
        <v>592000</v>
      </c>
      <c r="Z111" s="7">
        <v>3141000</v>
      </c>
      <c r="AA111" s="8">
        <f t="shared" si="3"/>
        <v>18086000</v>
      </c>
    </row>
    <row r="112" spans="1:27" ht="31">
      <c r="A112" s="2" t="s">
        <v>252</v>
      </c>
      <c r="B112" s="3" t="s">
        <v>253</v>
      </c>
      <c r="C112" s="4">
        <v>48731</v>
      </c>
      <c r="D112" s="3" t="s">
        <v>34</v>
      </c>
      <c r="E112" s="5">
        <v>25</v>
      </c>
      <c r="F112" s="5">
        <v>7</v>
      </c>
      <c r="G112" s="5">
        <v>6</v>
      </c>
      <c r="H112" s="5">
        <v>10</v>
      </c>
      <c r="I112" s="5">
        <v>3</v>
      </c>
      <c r="J112" s="5">
        <v>51</v>
      </c>
      <c r="K112" s="5">
        <v>6</v>
      </c>
      <c r="L112" s="5">
        <v>4</v>
      </c>
      <c r="M112" s="5">
        <v>0</v>
      </c>
      <c r="N112" s="5">
        <v>3</v>
      </c>
      <c r="O112" s="5">
        <v>33</v>
      </c>
      <c r="P112" s="6">
        <v>5.0999999999999996</v>
      </c>
      <c r="Q112" s="5">
        <v>4</v>
      </c>
      <c r="R112" s="5">
        <v>3</v>
      </c>
      <c r="S112" s="5">
        <v>0</v>
      </c>
      <c r="T112" s="5">
        <v>172</v>
      </c>
      <c r="U112" s="7">
        <v>5860000</v>
      </c>
      <c r="V112" s="7">
        <v>1731000</v>
      </c>
      <c r="W112" s="7">
        <v>1717000</v>
      </c>
      <c r="X112" s="7">
        <v>474000</v>
      </c>
      <c r="Y112" s="7">
        <v>433000</v>
      </c>
      <c r="Z112" s="7">
        <v>2456000</v>
      </c>
      <c r="AA112" s="8">
        <f t="shared" si="3"/>
        <v>12671000</v>
      </c>
    </row>
    <row r="113" spans="1:27" ht="16">
      <c r="A113" s="2" t="s">
        <v>254</v>
      </c>
      <c r="B113" s="3" t="s">
        <v>255</v>
      </c>
      <c r="C113" s="4">
        <v>48731</v>
      </c>
      <c r="D113" s="3" t="s">
        <v>34</v>
      </c>
      <c r="E113" s="5">
        <v>20</v>
      </c>
      <c r="F113" s="5">
        <v>6</v>
      </c>
      <c r="G113" s="5">
        <v>10</v>
      </c>
      <c r="H113" s="5">
        <v>10</v>
      </c>
      <c r="I113" s="5">
        <v>4</v>
      </c>
      <c r="J113" s="5">
        <v>50</v>
      </c>
      <c r="K113" s="5">
        <v>6</v>
      </c>
      <c r="L113" s="5">
        <v>2</v>
      </c>
      <c r="M113" s="5">
        <v>1</v>
      </c>
      <c r="N113" s="5">
        <v>3</v>
      </c>
      <c r="O113" s="5">
        <v>35</v>
      </c>
      <c r="P113" s="6">
        <v>9.5</v>
      </c>
      <c r="Q113" s="5">
        <v>8</v>
      </c>
      <c r="R113" s="5">
        <v>3</v>
      </c>
      <c r="S113" s="5">
        <v>0</v>
      </c>
      <c r="T113" s="5">
        <v>193</v>
      </c>
      <c r="U113" s="7">
        <v>5829000</v>
      </c>
      <c r="V113" s="7">
        <v>2038000</v>
      </c>
      <c r="W113" s="7">
        <v>2970000</v>
      </c>
      <c r="X113" s="7">
        <v>487000</v>
      </c>
      <c r="Y113" s="7">
        <v>507000</v>
      </c>
      <c r="Z113" s="7">
        <v>3403000</v>
      </c>
      <c r="AA113" s="8">
        <f t="shared" si="3"/>
        <v>15234000</v>
      </c>
    </row>
    <row r="114" spans="1:27" ht="31">
      <c r="A114" s="2" t="s">
        <v>256</v>
      </c>
      <c r="B114" s="3" t="s">
        <v>257</v>
      </c>
      <c r="C114" s="4">
        <v>48731</v>
      </c>
      <c r="D114" s="3" t="s">
        <v>29</v>
      </c>
      <c r="E114" s="5">
        <v>12</v>
      </c>
      <c r="F114" s="5">
        <v>7</v>
      </c>
      <c r="G114" s="5">
        <v>7</v>
      </c>
      <c r="H114" s="5">
        <v>7</v>
      </c>
      <c r="I114" s="5">
        <v>2</v>
      </c>
      <c r="J114" s="5">
        <v>35</v>
      </c>
      <c r="K114" s="5">
        <v>6</v>
      </c>
      <c r="L114" s="5">
        <v>2</v>
      </c>
      <c r="M114" s="5">
        <v>2</v>
      </c>
      <c r="N114" s="5">
        <v>1</v>
      </c>
      <c r="O114" s="5">
        <v>45</v>
      </c>
      <c r="P114" s="6">
        <v>9.6</v>
      </c>
      <c r="Q114" s="5">
        <v>6</v>
      </c>
      <c r="R114" s="5">
        <v>5</v>
      </c>
      <c r="S114" s="5">
        <v>0</v>
      </c>
      <c r="T114" s="5">
        <v>132</v>
      </c>
      <c r="U114" s="7">
        <v>3091000</v>
      </c>
      <c r="V114" s="7">
        <v>1481000</v>
      </c>
      <c r="W114" s="7">
        <v>2833000</v>
      </c>
      <c r="X114" s="7">
        <v>391000</v>
      </c>
      <c r="Y114" s="7">
        <v>374000</v>
      </c>
      <c r="Z114" s="7">
        <v>798000</v>
      </c>
      <c r="AA114" s="8">
        <f t="shared" si="3"/>
        <v>8968000</v>
      </c>
    </row>
    <row r="115" spans="1:27" ht="16">
      <c r="A115" s="2" t="s">
        <v>258</v>
      </c>
      <c r="B115" s="3" t="s">
        <v>259</v>
      </c>
      <c r="C115" s="4">
        <v>48731</v>
      </c>
      <c r="D115" s="3" t="s">
        <v>48</v>
      </c>
      <c r="E115" s="5">
        <v>14</v>
      </c>
      <c r="F115" s="5">
        <v>6</v>
      </c>
      <c r="G115" s="5">
        <v>7</v>
      </c>
      <c r="H115" s="5">
        <v>5</v>
      </c>
      <c r="I115" s="5">
        <v>5</v>
      </c>
      <c r="J115" s="5">
        <v>37</v>
      </c>
      <c r="K115" s="5">
        <v>6</v>
      </c>
      <c r="L115" s="5">
        <v>1</v>
      </c>
      <c r="M115" s="5">
        <v>0</v>
      </c>
      <c r="N115" s="5">
        <v>1</v>
      </c>
      <c r="O115" s="5">
        <v>19</v>
      </c>
      <c r="P115" s="6">
        <v>3</v>
      </c>
      <c r="Q115" s="5">
        <v>5</v>
      </c>
      <c r="R115" s="5">
        <v>1</v>
      </c>
      <c r="S115" s="5">
        <v>0</v>
      </c>
      <c r="T115" s="5">
        <v>116</v>
      </c>
      <c r="U115" s="7">
        <v>2494000</v>
      </c>
      <c r="V115" s="7">
        <v>660000</v>
      </c>
      <c r="W115" s="7">
        <v>1426000</v>
      </c>
      <c r="X115" s="7">
        <v>264000</v>
      </c>
      <c r="Y115" s="7">
        <v>765000</v>
      </c>
      <c r="Z115" s="7">
        <v>2028000</v>
      </c>
      <c r="AA115" s="8">
        <f t="shared" si="3"/>
        <v>7637000</v>
      </c>
    </row>
    <row r="116" spans="1:27" ht="31">
      <c r="A116" s="2" t="s">
        <v>260</v>
      </c>
      <c r="B116" s="3" t="s">
        <v>261</v>
      </c>
      <c r="C116" s="4">
        <v>48731</v>
      </c>
      <c r="D116" s="3" t="s">
        <v>29</v>
      </c>
      <c r="E116" s="5">
        <v>22</v>
      </c>
      <c r="F116" s="5">
        <v>5</v>
      </c>
      <c r="G116" s="5">
        <v>8</v>
      </c>
      <c r="H116" s="5">
        <v>4</v>
      </c>
      <c r="I116" s="5">
        <v>5</v>
      </c>
      <c r="J116" s="5">
        <v>44</v>
      </c>
      <c r="K116" s="5">
        <v>5</v>
      </c>
      <c r="L116" s="5">
        <v>4</v>
      </c>
      <c r="M116" s="5">
        <v>2</v>
      </c>
      <c r="N116" s="5">
        <v>1</v>
      </c>
      <c r="O116" s="5">
        <v>17</v>
      </c>
      <c r="P116" s="6">
        <v>1.4</v>
      </c>
      <c r="Q116" s="5">
        <v>2</v>
      </c>
      <c r="R116" s="5">
        <v>1</v>
      </c>
      <c r="S116" s="5">
        <v>0</v>
      </c>
      <c r="T116" s="5">
        <v>126</v>
      </c>
      <c r="U116" s="7">
        <v>3299000</v>
      </c>
      <c r="V116" s="7">
        <v>1559000</v>
      </c>
      <c r="W116" s="7">
        <v>680000</v>
      </c>
      <c r="X116" s="7">
        <v>241000</v>
      </c>
      <c r="Y116" s="7">
        <v>661000</v>
      </c>
      <c r="Z116" s="7">
        <v>1650000</v>
      </c>
      <c r="AA116" s="8">
        <f t="shared" si="3"/>
        <v>8090000</v>
      </c>
    </row>
    <row r="117" spans="1:27" ht="31">
      <c r="A117" s="2" t="s">
        <v>262</v>
      </c>
      <c r="B117" s="3" t="s">
        <v>263</v>
      </c>
      <c r="C117" s="4">
        <v>48731</v>
      </c>
      <c r="D117" s="3" t="s">
        <v>29</v>
      </c>
      <c r="E117" s="5">
        <v>26</v>
      </c>
      <c r="F117" s="5">
        <v>7</v>
      </c>
      <c r="G117" s="5">
        <v>7</v>
      </c>
      <c r="H117" s="5">
        <v>9</v>
      </c>
      <c r="I117" s="5">
        <v>6</v>
      </c>
      <c r="J117" s="5">
        <v>55</v>
      </c>
      <c r="K117" s="5">
        <v>6</v>
      </c>
      <c r="L117" s="5">
        <v>3</v>
      </c>
      <c r="M117" s="5">
        <v>3</v>
      </c>
      <c r="N117" s="5">
        <v>3</v>
      </c>
      <c r="O117" s="5">
        <v>49</v>
      </c>
      <c r="P117" s="6">
        <v>9.1</v>
      </c>
      <c r="Q117" s="5">
        <v>7</v>
      </c>
      <c r="R117" s="5">
        <v>4</v>
      </c>
      <c r="S117" s="5">
        <v>0</v>
      </c>
      <c r="T117" s="5">
        <v>144</v>
      </c>
      <c r="U117" s="7">
        <v>4293000</v>
      </c>
      <c r="V117" s="7">
        <v>2317000</v>
      </c>
      <c r="W117" s="7">
        <v>2878000</v>
      </c>
      <c r="X117" s="7">
        <v>665000</v>
      </c>
      <c r="Y117" s="7">
        <v>530000</v>
      </c>
      <c r="Z117" s="7">
        <v>3467000</v>
      </c>
      <c r="AA117" s="8">
        <f t="shared" si="3"/>
        <v>14150000</v>
      </c>
    </row>
    <row r="118" spans="1:27" ht="31">
      <c r="A118" s="2" t="s">
        <v>264</v>
      </c>
      <c r="B118" s="3" t="s">
        <v>265</v>
      </c>
      <c r="C118" s="4">
        <v>48944</v>
      </c>
      <c r="D118" s="3" t="s">
        <v>29</v>
      </c>
      <c r="E118" s="5">
        <v>21</v>
      </c>
      <c r="F118" s="5">
        <v>7</v>
      </c>
      <c r="G118" s="5">
        <v>5</v>
      </c>
      <c r="H118" s="5">
        <v>7</v>
      </c>
      <c r="I118" s="5">
        <v>5</v>
      </c>
      <c r="J118" s="5">
        <v>45</v>
      </c>
      <c r="K118" s="5">
        <v>3</v>
      </c>
      <c r="L118" s="5">
        <v>3</v>
      </c>
      <c r="M118" s="5">
        <v>2</v>
      </c>
      <c r="N118" s="5">
        <v>2</v>
      </c>
      <c r="O118" s="5">
        <v>46</v>
      </c>
      <c r="P118" s="6">
        <v>4.7</v>
      </c>
      <c r="Q118" s="5">
        <v>5</v>
      </c>
      <c r="R118" s="5">
        <v>5</v>
      </c>
      <c r="S118" s="5">
        <v>0</v>
      </c>
      <c r="T118" s="5">
        <v>117</v>
      </c>
      <c r="U118" s="7">
        <v>3249000</v>
      </c>
      <c r="V118" s="7">
        <v>1284000</v>
      </c>
      <c r="W118" s="7">
        <v>2088000</v>
      </c>
      <c r="X118" s="7">
        <v>228000</v>
      </c>
      <c r="Y118" s="7">
        <v>471000</v>
      </c>
      <c r="Z118" s="7">
        <v>2700000</v>
      </c>
      <c r="AA118" s="8">
        <f t="shared" si="3"/>
        <v>10020000</v>
      </c>
    </row>
    <row r="119" spans="1:27" ht="16">
      <c r="A119" s="2" t="s">
        <v>266</v>
      </c>
      <c r="B119" s="3" t="s">
        <v>267</v>
      </c>
      <c r="C119" s="4">
        <v>49096</v>
      </c>
      <c r="D119" s="3" t="s">
        <v>29</v>
      </c>
      <c r="E119" s="5">
        <v>17</v>
      </c>
      <c r="F119" s="5">
        <v>4</v>
      </c>
      <c r="G119" s="5">
        <v>8</v>
      </c>
      <c r="H119" s="5">
        <v>4</v>
      </c>
      <c r="I119" s="5">
        <v>3</v>
      </c>
      <c r="J119" s="5">
        <v>36</v>
      </c>
      <c r="K119" s="5">
        <v>5</v>
      </c>
      <c r="L119" s="5">
        <v>3</v>
      </c>
      <c r="M119" s="5">
        <v>2</v>
      </c>
      <c r="N119" s="5">
        <v>1</v>
      </c>
      <c r="O119" s="5">
        <v>34</v>
      </c>
      <c r="P119" s="6">
        <v>4.7</v>
      </c>
      <c r="Q119" s="5">
        <v>5</v>
      </c>
      <c r="R119" s="5">
        <v>2</v>
      </c>
      <c r="S119" s="5">
        <v>0</v>
      </c>
      <c r="T119" s="5">
        <v>120</v>
      </c>
      <c r="U119" s="7">
        <v>2644000</v>
      </c>
      <c r="V119" s="7">
        <v>1376000</v>
      </c>
      <c r="W119" s="7">
        <v>1764000</v>
      </c>
      <c r="X119" s="7">
        <v>399000</v>
      </c>
      <c r="Y119" s="7">
        <v>477000</v>
      </c>
      <c r="Z119" s="7">
        <v>899000</v>
      </c>
      <c r="AA119" s="8">
        <f t="shared" si="3"/>
        <v>7559000</v>
      </c>
    </row>
    <row r="120" spans="1:27" ht="31">
      <c r="A120" s="2" t="s">
        <v>268</v>
      </c>
      <c r="B120" s="3" t="s">
        <v>269</v>
      </c>
      <c r="C120" s="4">
        <v>49096</v>
      </c>
      <c r="D120" s="3" t="s">
        <v>48</v>
      </c>
      <c r="E120" s="5">
        <v>19</v>
      </c>
      <c r="F120" s="5">
        <v>6</v>
      </c>
      <c r="G120" s="5">
        <v>8</v>
      </c>
      <c r="H120" s="5">
        <v>7</v>
      </c>
      <c r="I120" s="5">
        <v>2</v>
      </c>
      <c r="J120" s="5">
        <v>42</v>
      </c>
      <c r="K120" s="5">
        <v>5</v>
      </c>
      <c r="L120" s="5">
        <v>1</v>
      </c>
      <c r="M120" s="5">
        <v>0</v>
      </c>
      <c r="N120" s="5">
        <v>1</v>
      </c>
      <c r="O120" s="5">
        <v>8</v>
      </c>
      <c r="P120" s="6">
        <v>2.9</v>
      </c>
      <c r="Q120" s="5">
        <v>5</v>
      </c>
      <c r="R120" s="5">
        <v>2</v>
      </c>
      <c r="S120" s="5">
        <v>0</v>
      </c>
      <c r="T120" s="5">
        <v>180</v>
      </c>
      <c r="U120" s="7">
        <v>4914000</v>
      </c>
      <c r="V120" s="7">
        <v>906000</v>
      </c>
      <c r="W120" s="7">
        <v>1474000</v>
      </c>
      <c r="X120" s="7">
        <v>249000</v>
      </c>
      <c r="Y120" s="7">
        <v>456000</v>
      </c>
      <c r="Z120" s="7">
        <v>2280000</v>
      </c>
      <c r="AA120" s="8">
        <f t="shared" si="3"/>
        <v>10279000</v>
      </c>
    </row>
    <row r="121" spans="1:27" ht="31">
      <c r="A121" s="2" t="s">
        <v>270</v>
      </c>
      <c r="B121" s="3" t="s">
        <v>271</v>
      </c>
      <c r="C121" s="4">
        <v>49309</v>
      </c>
      <c r="D121" s="3" t="s">
        <v>29</v>
      </c>
      <c r="E121" s="5">
        <v>18</v>
      </c>
      <c r="F121" s="5">
        <v>6</v>
      </c>
      <c r="G121" s="5">
        <v>5</v>
      </c>
      <c r="H121" s="5">
        <v>5</v>
      </c>
      <c r="I121" s="5">
        <v>2</v>
      </c>
      <c r="J121" s="5">
        <v>36</v>
      </c>
      <c r="K121" s="5">
        <v>6</v>
      </c>
      <c r="L121" s="5">
        <v>1</v>
      </c>
      <c r="M121" s="5">
        <v>0</v>
      </c>
      <c r="N121" s="5">
        <v>2</v>
      </c>
      <c r="O121" s="5">
        <v>22</v>
      </c>
      <c r="P121" s="6">
        <v>8.9</v>
      </c>
      <c r="Q121" s="5">
        <v>1</v>
      </c>
      <c r="R121" s="5">
        <v>2</v>
      </c>
      <c r="S121" s="5">
        <v>0</v>
      </c>
      <c r="T121" s="5">
        <v>152</v>
      </c>
      <c r="U121" s="7">
        <v>3562000</v>
      </c>
      <c r="V121" s="7">
        <v>991000</v>
      </c>
      <c r="W121" s="7">
        <v>1469000</v>
      </c>
      <c r="X121" s="7">
        <v>328000</v>
      </c>
      <c r="Y121" s="7">
        <v>807000</v>
      </c>
      <c r="Z121" s="7">
        <v>2270000</v>
      </c>
      <c r="AA121" s="8">
        <f t="shared" si="3"/>
        <v>9427000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8"/>
  <sheetViews>
    <sheetView workbookViewId="0"/>
  </sheetViews>
  <sheetFormatPr baseColWidth="10" defaultColWidth="8.83203125" defaultRowHeight="15"/>
  <cols>
    <col min="1" max="1" width="13" customWidth="1"/>
    <col min="2" max="2" width="48" customWidth="1"/>
    <col min="3" max="4" width="14" customWidth="1"/>
    <col min="5" max="5" width="24" customWidth="1"/>
    <col min="6" max="7" width="13" customWidth="1"/>
    <col min="8" max="8" width="15" customWidth="1"/>
    <col min="9" max="9" width="16" customWidth="1"/>
    <col min="10" max="32" width="17" customWidth="1"/>
  </cols>
  <sheetData>
    <row r="1" spans="1:32" ht="48" customHeight="1">
      <c r="A1" s="1" t="s">
        <v>0</v>
      </c>
      <c r="B1" s="1" t="s">
        <v>1</v>
      </c>
      <c r="C1" s="1" t="s">
        <v>2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</row>
    <row r="2" spans="1:32" ht="31">
      <c r="A2" s="2" t="s">
        <v>278</v>
      </c>
      <c r="B2" s="3" t="s">
        <v>279</v>
      </c>
      <c r="C2" s="4">
        <v>45657</v>
      </c>
      <c r="D2" s="3" t="s">
        <v>280</v>
      </c>
      <c r="E2" s="3" t="s">
        <v>281</v>
      </c>
      <c r="F2" s="9">
        <v>32.697460999999997</v>
      </c>
      <c r="G2" s="9">
        <v>-80.863871000000003</v>
      </c>
      <c r="H2" s="9">
        <v>32.697460999999997</v>
      </c>
      <c r="I2" s="9">
        <v>-80.863871000000003</v>
      </c>
      <c r="J2" s="3">
        <v>33</v>
      </c>
      <c r="K2" s="3">
        <v>6</v>
      </c>
      <c r="L2" s="3">
        <v>6</v>
      </c>
      <c r="M2" s="3">
        <v>9</v>
      </c>
      <c r="N2" s="3">
        <v>3</v>
      </c>
      <c r="O2" s="3">
        <v>57</v>
      </c>
      <c r="P2" s="3">
        <v>10</v>
      </c>
      <c r="Q2" s="3">
        <v>2</v>
      </c>
      <c r="R2" s="3">
        <v>3</v>
      </c>
      <c r="S2" s="3">
        <v>3</v>
      </c>
      <c r="T2" s="3">
        <v>58</v>
      </c>
      <c r="U2" s="3">
        <v>10.1</v>
      </c>
      <c r="V2" s="3">
        <v>5</v>
      </c>
      <c r="W2" s="3">
        <v>3</v>
      </c>
      <c r="X2" s="3">
        <v>0</v>
      </c>
      <c r="Y2" s="3">
        <v>218</v>
      </c>
      <c r="Z2" s="7">
        <v>7046000</v>
      </c>
      <c r="AA2" s="7">
        <v>3885000</v>
      </c>
      <c r="AB2" s="7">
        <v>2557000</v>
      </c>
      <c r="AC2" s="7">
        <v>612000</v>
      </c>
      <c r="AD2" s="7">
        <v>1349000</v>
      </c>
      <c r="AE2" s="7">
        <v>4143000</v>
      </c>
      <c r="AF2" s="8">
        <f t="shared" ref="AF2:AF8" si="0">SUM(Z2:AE2)</f>
        <v>19592000</v>
      </c>
    </row>
    <row r="3" spans="1:32" ht="31">
      <c r="A3" s="2" t="s">
        <v>282</v>
      </c>
      <c r="B3" s="3" t="s">
        <v>283</v>
      </c>
      <c r="C3" s="4">
        <v>45992</v>
      </c>
      <c r="D3" s="3" t="s">
        <v>280</v>
      </c>
      <c r="E3" s="3" t="s">
        <v>284</v>
      </c>
      <c r="F3" s="9">
        <v>32.941401999999997</v>
      </c>
      <c r="G3" s="9">
        <v>-79.842275999999998</v>
      </c>
      <c r="H3" s="9">
        <v>32.941401999999997</v>
      </c>
      <c r="I3" s="9">
        <v>-79.842275999999998</v>
      </c>
      <c r="J3" s="3">
        <v>23</v>
      </c>
      <c r="K3" s="3">
        <v>7</v>
      </c>
      <c r="L3" s="3">
        <v>9</v>
      </c>
      <c r="M3" s="3">
        <v>7</v>
      </c>
      <c r="N3" s="3">
        <v>3</v>
      </c>
      <c r="O3" s="3">
        <v>49</v>
      </c>
      <c r="P3" s="3">
        <v>7</v>
      </c>
      <c r="Q3" s="3">
        <v>1</v>
      </c>
      <c r="R3" s="3">
        <v>3</v>
      </c>
      <c r="S3" s="3">
        <v>4</v>
      </c>
      <c r="T3" s="3">
        <v>47</v>
      </c>
      <c r="U3" s="3">
        <v>12.3</v>
      </c>
      <c r="V3" s="3">
        <v>7</v>
      </c>
      <c r="W3" s="3">
        <v>6</v>
      </c>
      <c r="X3" s="3">
        <v>0</v>
      </c>
      <c r="Y3" s="3">
        <v>236</v>
      </c>
      <c r="Z3" s="7">
        <v>7517000</v>
      </c>
      <c r="AA3" s="7">
        <v>3719000</v>
      </c>
      <c r="AB3" s="7">
        <v>3430000</v>
      </c>
      <c r="AC3" s="7">
        <v>572000</v>
      </c>
      <c r="AD3" s="7">
        <v>691000</v>
      </c>
      <c r="AE3" s="7">
        <v>2671000</v>
      </c>
      <c r="AF3" s="8">
        <f t="shared" si="0"/>
        <v>18600000</v>
      </c>
    </row>
    <row r="4" spans="1:32" ht="31">
      <c r="A4" s="2" t="s">
        <v>285</v>
      </c>
      <c r="B4" s="3" t="s">
        <v>286</v>
      </c>
      <c r="C4" s="4">
        <v>46387</v>
      </c>
      <c r="D4" s="3" t="s">
        <v>280</v>
      </c>
      <c r="E4" s="3" t="s">
        <v>287</v>
      </c>
      <c r="F4" s="9">
        <v>34.057606</v>
      </c>
      <c r="G4" s="9">
        <v>-81.061519000000004</v>
      </c>
      <c r="H4" s="9">
        <v>34.057606</v>
      </c>
      <c r="I4" s="9">
        <v>-81.061519000000004</v>
      </c>
      <c r="J4" s="3">
        <v>25</v>
      </c>
      <c r="K4" s="3">
        <v>4</v>
      </c>
      <c r="L4" s="3">
        <v>10</v>
      </c>
      <c r="M4" s="3">
        <v>8</v>
      </c>
      <c r="N4" s="3">
        <v>6</v>
      </c>
      <c r="O4" s="3">
        <v>53</v>
      </c>
      <c r="P4" s="3">
        <v>10</v>
      </c>
      <c r="Q4" s="3">
        <v>3</v>
      </c>
      <c r="R4" s="3">
        <v>0</v>
      </c>
      <c r="S4" s="3">
        <v>1</v>
      </c>
      <c r="T4" s="3">
        <v>43</v>
      </c>
      <c r="U4" s="3">
        <v>19.5</v>
      </c>
      <c r="V4" s="3">
        <v>8</v>
      </c>
      <c r="W4" s="3">
        <v>3</v>
      </c>
      <c r="X4" s="3">
        <v>0</v>
      </c>
      <c r="Y4" s="3">
        <v>169</v>
      </c>
      <c r="Z4" s="7">
        <v>5168000</v>
      </c>
      <c r="AA4" s="7">
        <v>1715000</v>
      </c>
      <c r="AB4" s="7">
        <v>4145000</v>
      </c>
      <c r="AC4" s="7">
        <v>640000</v>
      </c>
      <c r="AD4" s="7">
        <v>1198000</v>
      </c>
      <c r="AE4" s="7">
        <v>2507000</v>
      </c>
      <c r="AF4" s="8">
        <f t="shared" si="0"/>
        <v>15373000</v>
      </c>
    </row>
    <row r="5" spans="1:32" ht="16">
      <c r="A5" s="2" t="s">
        <v>288</v>
      </c>
      <c r="B5" s="3" t="s">
        <v>289</v>
      </c>
      <c r="C5" s="4">
        <v>45809</v>
      </c>
      <c r="D5" s="3" t="s">
        <v>280</v>
      </c>
      <c r="E5" s="3" t="s">
        <v>290</v>
      </c>
      <c r="F5" s="9">
        <v>32.235027000000002</v>
      </c>
      <c r="G5" s="9">
        <v>-80.853384000000005</v>
      </c>
      <c r="H5" s="9">
        <v>32.235027000000002</v>
      </c>
      <c r="I5" s="9">
        <v>-80.853384000000005</v>
      </c>
      <c r="J5" s="3">
        <v>17</v>
      </c>
      <c r="K5" s="3">
        <v>6</v>
      </c>
      <c r="L5" s="3">
        <v>7</v>
      </c>
      <c r="M5" s="3">
        <v>5</v>
      </c>
      <c r="N5" s="3">
        <v>2</v>
      </c>
      <c r="O5" s="3">
        <v>37</v>
      </c>
      <c r="P5" s="3">
        <v>7</v>
      </c>
      <c r="Q5" s="3">
        <v>3</v>
      </c>
      <c r="R5" s="3">
        <v>1</v>
      </c>
      <c r="S5" s="3">
        <v>2</v>
      </c>
      <c r="T5" s="3">
        <v>60</v>
      </c>
      <c r="U5" s="3">
        <v>11.2</v>
      </c>
      <c r="V5" s="3">
        <v>6</v>
      </c>
      <c r="W5" s="3">
        <v>2</v>
      </c>
      <c r="X5" s="3">
        <v>0</v>
      </c>
      <c r="Y5" s="3">
        <v>173</v>
      </c>
      <c r="Z5" s="7">
        <v>3713000</v>
      </c>
      <c r="AA5" s="7">
        <v>1955000</v>
      </c>
      <c r="AB5" s="7">
        <v>2780000</v>
      </c>
      <c r="AC5" s="7">
        <v>262000</v>
      </c>
      <c r="AD5" s="7">
        <v>802000</v>
      </c>
      <c r="AE5" s="7">
        <v>2245000</v>
      </c>
      <c r="AF5" s="8">
        <f t="shared" si="0"/>
        <v>11757000</v>
      </c>
    </row>
    <row r="6" spans="1:32" ht="31">
      <c r="A6" s="2" t="s">
        <v>291</v>
      </c>
      <c r="B6" s="3" t="s">
        <v>292</v>
      </c>
      <c r="C6" s="4">
        <v>46174</v>
      </c>
      <c r="D6" s="3" t="s">
        <v>280</v>
      </c>
      <c r="E6" s="3" t="s">
        <v>293</v>
      </c>
      <c r="F6" s="9">
        <v>33.064149</v>
      </c>
      <c r="G6" s="9">
        <v>-80.620687000000004</v>
      </c>
      <c r="H6" s="9">
        <v>33.064149</v>
      </c>
      <c r="I6" s="9">
        <v>-80.620687000000004</v>
      </c>
      <c r="J6" s="3">
        <v>35</v>
      </c>
      <c r="K6" s="3">
        <v>9</v>
      </c>
      <c r="L6" s="3">
        <v>10</v>
      </c>
      <c r="M6" s="3">
        <v>8</v>
      </c>
      <c r="N6" s="3">
        <v>4</v>
      </c>
      <c r="O6" s="3">
        <v>66</v>
      </c>
      <c r="P6" s="3">
        <v>10</v>
      </c>
      <c r="Q6" s="3">
        <v>4</v>
      </c>
      <c r="R6" s="3">
        <v>3</v>
      </c>
      <c r="S6" s="3">
        <v>1</v>
      </c>
      <c r="T6" s="3">
        <v>110</v>
      </c>
      <c r="U6" s="3">
        <v>11.8</v>
      </c>
      <c r="V6" s="3">
        <v>5</v>
      </c>
      <c r="W6" s="3">
        <v>4</v>
      </c>
      <c r="X6" s="3">
        <v>0</v>
      </c>
      <c r="Y6" s="3">
        <v>277</v>
      </c>
      <c r="Z6" s="7">
        <v>11865000</v>
      </c>
      <c r="AA6" s="7">
        <v>4982000</v>
      </c>
      <c r="AB6" s="7">
        <v>3014000</v>
      </c>
      <c r="AC6" s="7">
        <v>969000</v>
      </c>
      <c r="AD6" s="7">
        <v>1090000</v>
      </c>
      <c r="AE6" s="7">
        <v>2925000</v>
      </c>
      <c r="AF6" s="8">
        <f t="shared" si="0"/>
        <v>24845000</v>
      </c>
    </row>
    <row r="7" spans="1:32" ht="31">
      <c r="A7" s="2" t="s">
        <v>294</v>
      </c>
      <c r="B7" s="3" t="s">
        <v>295</v>
      </c>
      <c r="C7" s="4">
        <v>46174</v>
      </c>
      <c r="D7" s="3" t="s">
        <v>296</v>
      </c>
      <c r="E7" s="3" t="s">
        <v>281</v>
      </c>
      <c r="F7" s="9">
        <v>32.697460999999997</v>
      </c>
      <c r="G7" s="9">
        <v>-80.863871000000003</v>
      </c>
      <c r="H7" s="9">
        <v>32.697460999999997</v>
      </c>
      <c r="I7" s="9">
        <v>-80.863871000000003</v>
      </c>
      <c r="J7" s="3">
        <v>24</v>
      </c>
      <c r="K7" s="3">
        <v>4</v>
      </c>
      <c r="L7" s="3">
        <v>10</v>
      </c>
      <c r="M7" s="3">
        <v>10</v>
      </c>
      <c r="N7" s="3">
        <v>3</v>
      </c>
      <c r="O7" s="3">
        <v>51</v>
      </c>
      <c r="P7" s="3">
        <v>8</v>
      </c>
      <c r="Q7" s="3">
        <v>2</v>
      </c>
      <c r="R7" s="3">
        <v>3</v>
      </c>
      <c r="S7" s="3">
        <v>1</v>
      </c>
      <c r="T7" s="3">
        <v>96</v>
      </c>
      <c r="U7" s="3">
        <v>20.9</v>
      </c>
      <c r="V7" s="3">
        <v>8</v>
      </c>
      <c r="W7" s="3">
        <v>6</v>
      </c>
      <c r="X7" s="3">
        <v>0</v>
      </c>
      <c r="Y7" s="3">
        <v>220</v>
      </c>
      <c r="Z7" s="7">
        <v>6743000</v>
      </c>
      <c r="AA7" s="7">
        <v>3267000</v>
      </c>
      <c r="AB7" s="7">
        <v>4761000</v>
      </c>
      <c r="AC7" s="7">
        <v>631000</v>
      </c>
      <c r="AD7" s="7">
        <v>560000</v>
      </c>
      <c r="AE7" s="7">
        <v>1248000</v>
      </c>
      <c r="AF7" s="8">
        <f t="shared" si="0"/>
        <v>17210000</v>
      </c>
    </row>
    <row r="8" spans="1:32" ht="16">
      <c r="A8" s="2" t="s">
        <v>297</v>
      </c>
      <c r="B8" s="3" t="s">
        <v>298</v>
      </c>
      <c r="C8" s="4">
        <v>46752</v>
      </c>
      <c r="D8" s="3" t="s">
        <v>296</v>
      </c>
      <c r="E8" s="3" t="s">
        <v>284</v>
      </c>
      <c r="F8" s="9">
        <v>32.941401999999997</v>
      </c>
      <c r="G8" s="9">
        <v>-79.842275999999998</v>
      </c>
      <c r="H8" s="9">
        <v>32.941401999999997</v>
      </c>
      <c r="I8" s="9">
        <v>-79.842275999999998</v>
      </c>
      <c r="J8" s="3">
        <v>21</v>
      </c>
      <c r="K8" s="3">
        <v>4</v>
      </c>
      <c r="L8" s="3">
        <v>5</v>
      </c>
      <c r="M8" s="3">
        <v>6</v>
      </c>
      <c r="N8" s="3">
        <v>5</v>
      </c>
      <c r="O8" s="3">
        <v>41</v>
      </c>
      <c r="P8" s="3">
        <v>6</v>
      </c>
      <c r="Q8" s="3">
        <v>1</v>
      </c>
      <c r="R8" s="3">
        <v>2</v>
      </c>
      <c r="S8" s="3">
        <v>1</v>
      </c>
      <c r="T8" s="3">
        <v>54</v>
      </c>
      <c r="U8" s="3">
        <v>11.1</v>
      </c>
      <c r="V8" s="3">
        <v>1</v>
      </c>
      <c r="W8" s="3">
        <v>4</v>
      </c>
      <c r="X8" s="3">
        <v>0</v>
      </c>
      <c r="Y8" s="3">
        <v>204</v>
      </c>
      <c r="Z8" s="7">
        <v>5311000</v>
      </c>
      <c r="AA8" s="7">
        <v>2104000</v>
      </c>
      <c r="AB8" s="7">
        <v>2014000</v>
      </c>
      <c r="AC8" s="7">
        <v>577000</v>
      </c>
      <c r="AD8" s="7">
        <v>805000</v>
      </c>
      <c r="AE8" s="7">
        <v>2211000</v>
      </c>
      <c r="AF8" s="8">
        <f t="shared" si="0"/>
        <v>13022000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9" sqref="B9"/>
    </sheetView>
  </sheetViews>
  <sheetFormatPr baseColWidth="10" defaultColWidth="8.83203125" defaultRowHeight="15"/>
  <cols>
    <col min="1" max="1" width="20" customWidth="1"/>
    <col min="2" max="2" width="110" customWidth="1"/>
  </cols>
  <sheetData>
    <row r="1" spans="1:2" ht="16">
      <c r="A1" s="10" t="s">
        <v>299</v>
      </c>
      <c r="B1" s="10" t="s">
        <v>300</v>
      </c>
    </row>
    <row r="2" spans="1:2" ht="16">
      <c r="A2" s="11" t="s">
        <v>301</v>
      </c>
      <c r="B2" s="11" t="s">
        <v>302</v>
      </c>
    </row>
    <row r="3" spans="1:2" ht="16">
      <c r="A3" s="11" t="s">
        <v>303</v>
      </c>
      <c r="B3" s="11" t="s">
        <v>304</v>
      </c>
    </row>
    <row r="4" spans="1:2" ht="16">
      <c r="A4" s="11" t="s">
        <v>305</v>
      </c>
      <c r="B4" s="11" t="s">
        <v>306</v>
      </c>
    </row>
    <row r="5" spans="1:2" ht="16">
      <c r="A5" s="11" t="s">
        <v>307</v>
      </c>
      <c r="B5" s="11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8"/>
  <sheetViews>
    <sheetView topLeftCell="L1" workbookViewId="0">
      <selection activeCell="Z2" sqref="Z2"/>
    </sheetView>
  </sheetViews>
  <sheetFormatPr baseColWidth="10" defaultColWidth="8.83203125" defaultRowHeight="15"/>
  <cols>
    <col min="1" max="1" width="32" customWidth="1"/>
    <col min="2" max="2" width="95" customWidth="1"/>
    <col min="3" max="3" width="38" customWidth="1"/>
    <col min="4" max="4" width="14" customWidth="1"/>
    <col min="5" max="5" width="16" customWidth="1"/>
    <col min="6" max="6" width="34" customWidth="1"/>
    <col min="7" max="7" width="14" customWidth="1"/>
    <col min="8" max="8" width="12" customWidth="1"/>
    <col min="9" max="9" width="13" customWidth="1"/>
    <col min="10" max="10" width="22" customWidth="1"/>
    <col min="11" max="12" width="18" customWidth="1"/>
    <col min="13" max="13" width="20" customWidth="1"/>
    <col min="14" max="15" width="17" customWidth="1"/>
    <col min="16" max="22" width="16" customWidth="1"/>
    <col min="23" max="23" width="18" customWidth="1"/>
    <col min="24" max="24" width="13" customWidth="1"/>
    <col min="25" max="25" width="16" customWidth="1"/>
    <col min="26" max="26" width="13" customWidth="1"/>
    <col min="27" max="27" width="12" customWidth="1"/>
    <col min="28" max="29" width="17" customWidth="1"/>
    <col min="30" max="30" width="16" customWidth="1"/>
    <col min="31" max="31" width="18" customWidth="1"/>
    <col min="32" max="33" width="22" customWidth="1"/>
    <col min="34" max="34" width="12" customWidth="1"/>
    <col min="35" max="35" width="42" customWidth="1"/>
  </cols>
  <sheetData>
    <row r="1" spans="1:35" ht="56" customHeight="1">
      <c r="A1" s="12" t="s">
        <v>309</v>
      </c>
      <c r="B1" s="12" t="s">
        <v>310</v>
      </c>
      <c r="C1" s="12" t="s">
        <v>311</v>
      </c>
      <c r="D1" s="12" t="s">
        <v>312</v>
      </c>
      <c r="E1" s="12" t="s">
        <v>313</v>
      </c>
      <c r="F1" s="12" t="s">
        <v>314</v>
      </c>
      <c r="G1" s="12" t="s">
        <v>315</v>
      </c>
      <c r="H1" s="12" t="s">
        <v>316</v>
      </c>
      <c r="I1" s="12" t="s">
        <v>317</v>
      </c>
      <c r="J1" s="12" t="s">
        <v>318</v>
      </c>
      <c r="K1" s="12" t="s">
        <v>319</v>
      </c>
      <c r="L1" s="12" t="s">
        <v>320</v>
      </c>
      <c r="M1" s="12" t="s">
        <v>321</v>
      </c>
      <c r="N1" s="12" t="s">
        <v>322</v>
      </c>
      <c r="O1" s="12" t="s">
        <v>323</v>
      </c>
      <c r="P1" s="12" t="s">
        <v>324</v>
      </c>
      <c r="Q1" s="12" t="s">
        <v>325</v>
      </c>
      <c r="R1" s="12" t="s">
        <v>326</v>
      </c>
      <c r="S1" s="12" t="s">
        <v>327</v>
      </c>
      <c r="T1" s="12" t="s">
        <v>328</v>
      </c>
      <c r="U1" s="12" t="s">
        <v>329</v>
      </c>
      <c r="V1" s="12" t="s">
        <v>330</v>
      </c>
      <c r="W1" s="12" t="s">
        <v>331</v>
      </c>
      <c r="X1" s="12" t="s">
        <v>332</v>
      </c>
      <c r="Y1" s="12" t="s">
        <v>333</v>
      </c>
      <c r="Z1" s="12" t="s">
        <v>334</v>
      </c>
      <c r="AA1" s="12" t="s">
        <v>335</v>
      </c>
      <c r="AB1" s="12" t="s">
        <v>336</v>
      </c>
      <c r="AC1" s="12" t="s">
        <v>337</v>
      </c>
      <c r="AD1" s="12" t="s">
        <v>338</v>
      </c>
      <c r="AE1" s="12" t="s">
        <v>339</v>
      </c>
      <c r="AF1" s="12" t="s">
        <v>340</v>
      </c>
      <c r="AG1" s="12" t="s">
        <v>341</v>
      </c>
      <c r="AH1" s="12" t="s">
        <v>342</v>
      </c>
      <c r="AI1" s="12" t="s">
        <v>343</v>
      </c>
    </row>
    <row r="2" spans="1:35" ht="32">
      <c r="A2" s="13" t="s">
        <v>344</v>
      </c>
      <c r="B2" s="13" t="s">
        <v>103</v>
      </c>
      <c r="C2" s="13" t="s">
        <v>104</v>
      </c>
      <c r="D2" s="13" t="s">
        <v>345</v>
      </c>
      <c r="E2" s="13" t="s">
        <v>288</v>
      </c>
      <c r="F2" s="13" t="s">
        <v>289</v>
      </c>
      <c r="G2" s="13" t="s">
        <v>346</v>
      </c>
      <c r="H2" s="18">
        <v>17.64</v>
      </c>
      <c r="I2" s="13">
        <v>638</v>
      </c>
      <c r="J2" s="11" t="str">
        <f t="shared" ref="J2:J8" si="0">IF(I2=0,"Concurrent collaboration",IF(I2&lt;=365,"Near-term coordination",IF(I2&lt;=730,"Resource planning",IF(I2&lt;=1095,"Long-range planning","Low timing alignment"))))</f>
        <v>Resource planning</v>
      </c>
      <c r="K2" s="14">
        <f>Gridlock_Utilities_Resource_and!AA38</f>
        <v>7578000</v>
      </c>
      <c r="L2" s="14">
        <f>'Utility B Resources'!AF5</f>
        <v>11757000</v>
      </c>
      <c r="M2" s="14">
        <f t="shared" ref="M2:M8" si="1">K2+L2</f>
        <v>19335000</v>
      </c>
      <c r="N2" s="14">
        <f>Gridlock_Utilities_Resource_and!V38</f>
        <v>529000</v>
      </c>
      <c r="O2" s="14">
        <f>'Utility B Resources'!AA5</f>
        <v>1955000</v>
      </c>
      <c r="P2" s="14">
        <f>Gridlock_Utilities_Resource_and!X38</f>
        <v>464000</v>
      </c>
      <c r="Q2" s="14">
        <f>'Utility B Resources'!AC5</f>
        <v>262000</v>
      </c>
      <c r="R2" s="14">
        <f>Gridlock_Utilities_Resource_and!Z38</f>
        <v>2258000</v>
      </c>
      <c r="S2" s="14">
        <f>'Utility B Resources'!AE5</f>
        <v>2245000</v>
      </c>
      <c r="T2" s="14">
        <f>Gridlock_Utilities_Resource_and!W38</f>
        <v>1823000</v>
      </c>
      <c r="U2" s="14">
        <f>'Utility B Resources'!AB5</f>
        <v>2780000</v>
      </c>
      <c r="V2" s="15">
        <f>MIN(Gridlock_Utilities_Resource_and!K38,'Utility B Resources'!P5)</f>
        <v>6</v>
      </c>
      <c r="W2" s="15">
        <f>MIN(Gridlock_Utilities_Resource_and!L38,'Utility B Resources'!Q5)</f>
        <v>1</v>
      </c>
      <c r="X2" s="15">
        <f>MIN(Gridlock_Utilities_Resource_and!M38,'Utility B Resources'!R5)</f>
        <v>0</v>
      </c>
      <c r="Y2" s="15">
        <f>MIN(Gridlock_Utilities_Resource_and!N38,'Utility B Resources'!S5)</f>
        <v>1</v>
      </c>
      <c r="Z2" s="16">
        <f t="shared" ref="Z2:Z8" si="2">IF(H2&lt;=10,1,IF(H2&lt;=20,0.8,IF(H2&lt;=25,0.6,0)))</f>
        <v>0.8</v>
      </c>
      <c r="AA2" s="16">
        <f t="shared" ref="AA2:AA8" si="3">IF(I2=0,1,IF(I2&lt;=365,0.75,IF(I2&lt;=730,0.5,IF(I2&lt;=1095,0.25,0.1))))</f>
        <v>0.5</v>
      </c>
      <c r="AB2" s="14">
        <f t="shared" ref="AB2:AB8" si="4">MIN(N2,O2)*0.2*Z2*AA2</f>
        <v>42320</v>
      </c>
      <c r="AC2" s="14">
        <f t="shared" ref="AC2:AC8" si="5">MIN(P2,Q2)*0.35*Z2*AA2</f>
        <v>36680</v>
      </c>
      <c r="AD2" s="14">
        <f t="shared" ref="AD2:AD8" si="6">MIN(R2,S2)*0.12*Z2*AA2</f>
        <v>107760</v>
      </c>
      <c r="AE2" s="14">
        <f t="shared" ref="AE2:AE8" si="7">MIN(T2,U2)*0.05*Z2*AA2</f>
        <v>36460</v>
      </c>
      <c r="AF2" s="14">
        <f t="shared" ref="AF2:AF8" si="8">SUM(AB2:AE2)</f>
        <v>223220</v>
      </c>
      <c r="AG2" s="14">
        <f t="shared" ref="AG2:AG8" si="9">M2-AF2</f>
        <v>19111780</v>
      </c>
      <c r="AH2" s="17">
        <f t="shared" ref="AH2:AH8" si="10">IF(M2=0,0,AF2/M2)</f>
        <v>1.1544866821825704E-2</v>
      </c>
      <c r="AI2" s="11" t="str">
        <f t="shared" ref="AI2:AI8" si="11">IF(I2=0,"Highest priority: coordinate schedule, staging, equipment and procurement",IF(I2&lt;=365,"Strong candidate: align procurement, contractors and equipment mobilization",IF(I2&lt;=730,"Plan shared vendors/equipment where schedules can be adjusted",IF(I2&lt;=1095,"Use informed planning to avoid duplicate staging/procurement","Primarily use visibility to prevent future duplication"))))</f>
        <v>Plan shared vendors/equipment where schedules can be adjusted</v>
      </c>
    </row>
    <row r="3" spans="1:35" ht="32">
      <c r="A3" s="13" t="s">
        <v>347</v>
      </c>
      <c r="B3" s="13" t="s">
        <v>46</v>
      </c>
      <c r="C3" s="13" t="s">
        <v>47</v>
      </c>
      <c r="D3" s="13" t="s">
        <v>346</v>
      </c>
      <c r="E3" s="13" t="s">
        <v>288</v>
      </c>
      <c r="F3" s="13" t="s">
        <v>289</v>
      </c>
      <c r="G3" s="13" t="s">
        <v>346</v>
      </c>
      <c r="H3" s="18">
        <v>18.149999999999999</v>
      </c>
      <c r="I3" s="13">
        <v>0</v>
      </c>
      <c r="J3" s="11" t="str">
        <f t="shared" si="0"/>
        <v>Concurrent collaboration</v>
      </c>
      <c r="K3" s="14">
        <f>Gridlock_Utilities_Resource_and!AA10</f>
        <v>10094000</v>
      </c>
      <c r="L3" s="14">
        <f>'Utility B Resources'!AF5</f>
        <v>11757000</v>
      </c>
      <c r="M3" s="14">
        <f t="shared" si="1"/>
        <v>21851000</v>
      </c>
      <c r="N3" s="14">
        <f>Gridlock_Utilities_Resource_and!V10</f>
        <v>1673000</v>
      </c>
      <c r="O3" s="14">
        <f>'Utility B Resources'!AA5</f>
        <v>1955000</v>
      </c>
      <c r="P3" s="14">
        <f>Gridlock_Utilities_Resource_and!X10</f>
        <v>273000</v>
      </c>
      <c r="Q3" s="14">
        <f>'Utility B Resources'!AC5</f>
        <v>262000</v>
      </c>
      <c r="R3" s="14">
        <f>Gridlock_Utilities_Resource_and!Z10</f>
        <v>2326000</v>
      </c>
      <c r="S3" s="14">
        <f>'Utility B Resources'!AE5</f>
        <v>2245000</v>
      </c>
      <c r="T3" s="14">
        <f>Gridlock_Utilities_Resource_and!W10</f>
        <v>1917000</v>
      </c>
      <c r="U3" s="14">
        <f>'Utility B Resources'!AB5</f>
        <v>2780000</v>
      </c>
      <c r="V3" s="15">
        <f>MIN(Gridlock_Utilities_Resource_and!K10,'Utility B Resources'!P5)</f>
        <v>7</v>
      </c>
      <c r="W3" s="15">
        <f>MIN(Gridlock_Utilities_Resource_and!L10,'Utility B Resources'!Q5)</f>
        <v>3</v>
      </c>
      <c r="X3" s="15">
        <f>MIN(Gridlock_Utilities_Resource_and!M10,'Utility B Resources'!R5)</f>
        <v>1</v>
      </c>
      <c r="Y3" s="15">
        <f>MIN(Gridlock_Utilities_Resource_and!N10,'Utility B Resources'!S5)</f>
        <v>2</v>
      </c>
      <c r="Z3" s="16">
        <f t="shared" si="2"/>
        <v>0.8</v>
      </c>
      <c r="AA3" s="16">
        <f t="shared" si="3"/>
        <v>1</v>
      </c>
      <c r="AB3" s="14">
        <f t="shared" si="4"/>
        <v>267680</v>
      </c>
      <c r="AC3" s="14">
        <f t="shared" si="5"/>
        <v>73360</v>
      </c>
      <c r="AD3" s="14">
        <f t="shared" si="6"/>
        <v>215520</v>
      </c>
      <c r="AE3" s="14">
        <f t="shared" si="7"/>
        <v>76680</v>
      </c>
      <c r="AF3" s="14">
        <f t="shared" si="8"/>
        <v>633240</v>
      </c>
      <c r="AG3" s="14">
        <f t="shared" si="9"/>
        <v>21217760</v>
      </c>
      <c r="AH3" s="17">
        <f t="shared" si="10"/>
        <v>2.897990938629811E-2</v>
      </c>
      <c r="AI3" s="11" t="str">
        <f t="shared" si="11"/>
        <v>Highest priority: coordinate schedule, staging, equipment and procurement</v>
      </c>
    </row>
    <row r="4" spans="1:35" ht="32">
      <c r="A4" s="13" t="s">
        <v>348</v>
      </c>
      <c r="B4" s="13" t="s">
        <v>87</v>
      </c>
      <c r="C4" s="13" t="s">
        <v>88</v>
      </c>
      <c r="D4" s="13" t="s">
        <v>349</v>
      </c>
      <c r="E4" s="13" t="s">
        <v>288</v>
      </c>
      <c r="F4" s="13" t="s">
        <v>289</v>
      </c>
      <c r="G4" s="13" t="s">
        <v>346</v>
      </c>
      <c r="H4" s="18">
        <v>18.940000000000001</v>
      </c>
      <c r="I4" s="13">
        <v>365</v>
      </c>
      <c r="J4" s="11" t="str">
        <f t="shared" si="0"/>
        <v>Near-term coordination</v>
      </c>
      <c r="K4" s="14">
        <f>Gridlock_Utilities_Resource_and!AA30</f>
        <v>8053000</v>
      </c>
      <c r="L4" s="14">
        <f>'Utility B Resources'!AF5</f>
        <v>11757000</v>
      </c>
      <c r="M4" s="14">
        <f t="shared" si="1"/>
        <v>19810000</v>
      </c>
      <c r="N4" s="14">
        <f>Gridlock_Utilities_Resource_and!V30</f>
        <v>1077000</v>
      </c>
      <c r="O4" s="14">
        <f>'Utility B Resources'!AA5</f>
        <v>1955000</v>
      </c>
      <c r="P4" s="14">
        <f>Gridlock_Utilities_Resource_and!X30</f>
        <v>536000</v>
      </c>
      <c r="Q4" s="14">
        <f>'Utility B Resources'!AC5</f>
        <v>262000</v>
      </c>
      <c r="R4" s="14">
        <f>Gridlock_Utilities_Resource_and!Z30</f>
        <v>1300000</v>
      </c>
      <c r="S4" s="14">
        <f>'Utility B Resources'!AE5</f>
        <v>2245000</v>
      </c>
      <c r="T4" s="14">
        <f>Gridlock_Utilities_Resource_and!W30</f>
        <v>1548000</v>
      </c>
      <c r="U4" s="14">
        <f>'Utility B Resources'!AB5</f>
        <v>2780000</v>
      </c>
      <c r="V4" s="15">
        <f>MIN(Gridlock_Utilities_Resource_and!K30,'Utility B Resources'!P5)</f>
        <v>3</v>
      </c>
      <c r="W4" s="15">
        <f>MIN(Gridlock_Utilities_Resource_and!L30,'Utility B Resources'!Q5)</f>
        <v>2</v>
      </c>
      <c r="X4" s="15">
        <f>MIN(Gridlock_Utilities_Resource_and!M30,'Utility B Resources'!R5)</f>
        <v>1</v>
      </c>
      <c r="Y4" s="15">
        <f>MIN(Gridlock_Utilities_Resource_and!N30,'Utility B Resources'!S5)</f>
        <v>2</v>
      </c>
      <c r="Z4" s="16">
        <f t="shared" si="2"/>
        <v>0.8</v>
      </c>
      <c r="AA4" s="16">
        <f t="shared" si="3"/>
        <v>0.75</v>
      </c>
      <c r="AB4" s="14">
        <f t="shared" si="4"/>
        <v>129240</v>
      </c>
      <c r="AC4" s="14">
        <f t="shared" si="5"/>
        <v>55020</v>
      </c>
      <c r="AD4" s="14">
        <f t="shared" si="6"/>
        <v>93600</v>
      </c>
      <c r="AE4" s="14">
        <f t="shared" si="7"/>
        <v>46440</v>
      </c>
      <c r="AF4" s="14">
        <f t="shared" si="8"/>
        <v>324300</v>
      </c>
      <c r="AG4" s="14">
        <f t="shared" si="9"/>
        <v>19485700</v>
      </c>
      <c r="AH4" s="17">
        <f t="shared" si="10"/>
        <v>1.6370519939424535E-2</v>
      </c>
      <c r="AI4" s="11" t="str">
        <f t="shared" si="11"/>
        <v>Strong candidate: align procurement, contractors and equipment mobilization</v>
      </c>
    </row>
    <row r="5" spans="1:35" ht="32">
      <c r="A5" s="13" t="s">
        <v>350</v>
      </c>
      <c r="B5" s="13" t="s">
        <v>151</v>
      </c>
      <c r="C5" s="13" t="s">
        <v>152</v>
      </c>
      <c r="D5" s="13" t="s">
        <v>351</v>
      </c>
      <c r="E5" s="13" t="s">
        <v>288</v>
      </c>
      <c r="F5" s="13" t="s">
        <v>289</v>
      </c>
      <c r="G5" s="13" t="s">
        <v>346</v>
      </c>
      <c r="H5" s="18">
        <v>20.03</v>
      </c>
      <c r="I5" s="13">
        <v>1096</v>
      </c>
      <c r="J5" s="11" t="str">
        <f t="shared" si="0"/>
        <v>Low timing alignment</v>
      </c>
      <c r="K5" s="14">
        <f>Gridlock_Utilities_Resource_and!AA62</f>
        <v>8390000</v>
      </c>
      <c r="L5" s="14">
        <f>'Utility B Resources'!AF5</f>
        <v>11757000</v>
      </c>
      <c r="M5" s="14">
        <f t="shared" si="1"/>
        <v>20147000</v>
      </c>
      <c r="N5" s="14">
        <f>Gridlock_Utilities_Resource_and!V62</f>
        <v>765000</v>
      </c>
      <c r="O5" s="14">
        <f>'Utility B Resources'!AA5</f>
        <v>1955000</v>
      </c>
      <c r="P5" s="14">
        <f>Gridlock_Utilities_Resource_and!X62</f>
        <v>471000</v>
      </c>
      <c r="Q5" s="14">
        <f>'Utility B Resources'!AC5</f>
        <v>262000</v>
      </c>
      <c r="R5" s="14">
        <f>Gridlock_Utilities_Resource_and!Z62</f>
        <v>2577000</v>
      </c>
      <c r="S5" s="14">
        <f>'Utility B Resources'!AE5</f>
        <v>2245000</v>
      </c>
      <c r="T5" s="14">
        <f>Gridlock_Utilities_Resource_and!W62</f>
        <v>1866000</v>
      </c>
      <c r="U5" s="14">
        <f>'Utility B Resources'!AB5</f>
        <v>2780000</v>
      </c>
      <c r="V5" s="15">
        <f>MIN(Gridlock_Utilities_Resource_and!K62,'Utility B Resources'!P5)</f>
        <v>6</v>
      </c>
      <c r="W5" s="15">
        <f>MIN(Gridlock_Utilities_Resource_and!L62,'Utility B Resources'!Q5)</f>
        <v>2</v>
      </c>
      <c r="X5" s="15">
        <f>MIN(Gridlock_Utilities_Resource_and!M62,'Utility B Resources'!R5)</f>
        <v>0</v>
      </c>
      <c r="Y5" s="15">
        <f>MIN(Gridlock_Utilities_Resource_and!N62,'Utility B Resources'!S5)</f>
        <v>2</v>
      </c>
      <c r="Z5" s="16">
        <f t="shared" si="2"/>
        <v>0.6</v>
      </c>
      <c r="AA5" s="16">
        <f t="shared" si="3"/>
        <v>0.1</v>
      </c>
      <c r="AB5" s="14">
        <f t="shared" si="4"/>
        <v>9180</v>
      </c>
      <c r="AC5" s="14">
        <f t="shared" si="5"/>
        <v>5502</v>
      </c>
      <c r="AD5" s="14">
        <f t="shared" si="6"/>
        <v>16164</v>
      </c>
      <c r="AE5" s="14">
        <f t="shared" si="7"/>
        <v>5598</v>
      </c>
      <c r="AF5" s="14">
        <f t="shared" si="8"/>
        <v>36444</v>
      </c>
      <c r="AG5" s="14">
        <f t="shared" si="9"/>
        <v>20110556</v>
      </c>
      <c r="AH5" s="17">
        <f t="shared" si="10"/>
        <v>1.8089045515461359E-3</v>
      </c>
      <c r="AI5" s="11" t="str">
        <f t="shared" si="11"/>
        <v>Primarily use visibility to prevent future duplication</v>
      </c>
    </row>
    <row r="6" spans="1:35" ht="32">
      <c r="A6" s="13" t="s">
        <v>352</v>
      </c>
      <c r="B6" s="13" t="s">
        <v>89</v>
      </c>
      <c r="C6" s="13" t="s">
        <v>90</v>
      </c>
      <c r="D6" s="13" t="s">
        <v>349</v>
      </c>
      <c r="E6" s="13" t="s">
        <v>288</v>
      </c>
      <c r="F6" s="13" t="s">
        <v>289</v>
      </c>
      <c r="G6" s="13" t="s">
        <v>346</v>
      </c>
      <c r="H6" s="18">
        <v>20.45</v>
      </c>
      <c r="I6" s="13">
        <v>365</v>
      </c>
      <c r="J6" s="11" t="str">
        <f t="shared" si="0"/>
        <v>Near-term coordination</v>
      </c>
      <c r="K6" s="14">
        <f>Gridlock_Utilities_Resource_and!AA31</f>
        <v>14771000</v>
      </c>
      <c r="L6" s="14">
        <f>'Utility B Resources'!AF5</f>
        <v>11757000</v>
      </c>
      <c r="M6" s="14">
        <f t="shared" si="1"/>
        <v>26528000</v>
      </c>
      <c r="N6" s="14">
        <f>Gridlock_Utilities_Resource_and!V31</f>
        <v>2270000</v>
      </c>
      <c r="O6" s="14">
        <f>'Utility B Resources'!AA5</f>
        <v>1955000</v>
      </c>
      <c r="P6" s="14">
        <f>Gridlock_Utilities_Resource_and!X31</f>
        <v>582000</v>
      </c>
      <c r="Q6" s="14">
        <f>'Utility B Resources'!AC5</f>
        <v>262000</v>
      </c>
      <c r="R6" s="14">
        <f>Gridlock_Utilities_Resource_and!Z31</f>
        <v>1324000</v>
      </c>
      <c r="S6" s="14">
        <f>'Utility B Resources'!AE5</f>
        <v>2245000</v>
      </c>
      <c r="T6" s="14">
        <f>Gridlock_Utilities_Resource_and!W31</f>
        <v>2503000</v>
      </c>
      <c r="U6" s="14">
        <f>'Utility B Resources'!AB5</f>
        <v>2780000</v>
      </c>
      <c r="V6" s="15">
        <f>MIN(Gridlock_Utilities_Resource_and!K31,'Utility B Resources'!P5)</f>
        <v>5</v>
      </c>
      <c r="W6" s="15">
        <f>MIN(Gridlock_Utilities_Resource_and!L31,'Utility B Resources'!Q5)</f>
        <v>3</v>
      </c>
      <c r="X6" s="15">
        <f>MIN(Gridlock_Utilities_Resource_and!M31,'Utility B Resources'!R5)</f>
        <v>1</v>
      </c>
      <c r="Y6" s="15">
        <f>MIN(Gridlock_Utilities_Resource_and!N31,'Utility B Resources'!S5)</f>
        <v>2</v>
      </c>
      <c r="Z6" s="16">
        <f t="shared" si="2"/>
        <v>0.6</v>
      </c>
      <c r="AA6" s="16">
        <f t="shared" si="3"/>
        <v>0.75</v>
      </c>
      <c r="AB6" s="14">
        <f t="shared" si="4"/>
        <v>175950</v>
      </c>
      <c r="AC6" s="14">
        <f t="shared" si="5"/>
        <v>41265</v>
      </c>
      <c r="AD6" s="14">
        <f t="shared" si="6"/>
        <v>71496</v>
      </c>
      <c r="AE6" s="14">
        <f t="shared" si="7"/>
        <v>56317.5</v>
      </c>
      <c r="AF6" s="14">
        <f t="shared" si="8"/>
        <v>345028.5</v>
      </c>
      <c r="AG6" s="14">
        <f t="shared" si="9"/>
        <v>26182971.5</v>
      </c>
      <c r="AH6" s="17">
        <f t="shared" si="10"/>
        <v>1.300620099517491E-2</v>
      </c>
      <c r="AI6" s="11" t="str">
        <f t="shared" si="11"/>
        <v>Strong candidate: align procurement, contractors and equipment mobilization</v>
      </c>
    </row>
    <row r="7" spans="1:35" ht="32">
      <c r="A7" s="13" t="s">
        <v>353</v>
      </c>
      <c r="B7" s="13" t="s">
        <v>181</v>
      </c>
      <c r="C7" s="13" t="s">
        <v>182</v>
      </c>
      <c r="D7" s="13" t="s">
        <v>354</v>
      </c>
      <c r="E7" s="13" t="s">
        <v>288</v>
      </c>
      <c r="F7" s="13" t="s">
        <v>289</v>
      </c>
      <c r="G7" s="13" t="s">
        <v>346</v>
      </c>
      <c r="H7" s="18">
        <v>20.78</v>
      </c>
      <c r="I7" s="13">
        <v>1461</v>
      </c>
      <c r="J7" s="11" t="str">
        <f t="shared" si="0"/>
        <v>Low timing alignment</v>
      </c>
      <c r="K7" s="14">
        <f>Gridlock_Utilities_Resource_and!AA77</f>
        <v>9266000</v>
      </c>
      <c r="L7" s="14">
        <f>'Utility B Resources'!AF5</f>
        <v>11757000</v>
      </c>
      <c r="M7" s="14">
        <f t="shared" si="1"/>
        <v>21023000</v>
      </c>
      <c r="N7" s="14">
        <f>Gridlock_Utilities_Resource_and!V77</f>
        <v>1629000</v>
      </c>
      <c r="O7" s="14">
        <f>'Utility B Resources'!AA5</f>
        <v>1955000</v>
      </c>
      <c r="P7" s="14">
        <f>Gridlock_Utilities_Resource_and!X77</f>
        <v>329000</v>
      </c>
      <c r="Q7" s="14">
        <f>'Utility B Resources'!AC5</f>
        <v>262000</v>
      </c>
      <c r="R7" s="14">
        <f>Gridlock_Utilities_Resource_and!Z77</f>
        <v>2400000</v>
      </c>
      <c r="S7" s="14">
        <f>'Utility B Resources'!AE5</f>
        <v>2245000</v>
      </c>
      <c r="T7" s="14">
        <f>Gridlock_Utilities_Resource_and!W77</f>
        <v>1256000</v>
      </c>
      <c r="U7" s="14">
        <f>'Utility B Resources'!AB5</f>
        <v>2780000</v>
      </c>
      <c r="V7" s="15">
        <f>MIN(Gridlock_Utilities_Resource_and!K77,'Utility B Resources'!P5)</f>
        <v>7</v>
      </c>
      <c r="W7" s="15">
        <f>MIN(Gridlock_Utilities_Resource_and!L77,'Utility B Resources'!Q5)</f>
        <v>1</v>
      </c>
      <c r="X7" s="15">
        <f>MIN(Gridlock_Utilities_Resource_and!M77,'Utility B Resources'!R5)</f>
        <v>1</v>
      </c>
      <c r="Y7" s="15">
        <f>MIN(Gridlock_Utilities_Resource_and!N77,'Utility B Resources'!S5)</f>
        <v>2</v>
      </c>
      <c r="Z7" s="16">
        <f t="shared" si="2"/>
        <v>0.6</v>
      </c>
      <c r="AA7" s="16">
        <f t="shared" si="3"/>
        <v>0.1</v>
      </c>
      <c r="AB7" s="14">
        <f t="shared" si="4"/>
        <v>19548</v>
      </c>
      <c r="AC7" s="14">
        <f t="shared" si="5"/>
        <v>5502</v>
      </c>
      <c r="AD7" s="14">
        <f t="shared" si="6"/>
        <v>16164</v>
      </c>
      <c r="AE7" s="14">
        <f t="shared" si="7"/>
        <v>3768</v>
      </c>
      <c r="AF7" s="14">
        <f t="shared" si="8"/>
        <v>44982</v>
      </c>
      <c r="AG7" s="14">
        <f t="shared" si="9"/>
        <v>20978018</v>
      </c>
      <c r="AH7" s="17">
        <f t="shared" si="10"/>
        <v>2.139656566617514E-3</v>
      </c>
      <c r="AI7" s="11" t="str">
        <f t="shared" si="11"/>
        <v>Primarily use visibility to prevent future duplication</v>
      </c>
    </row>
    <row r="8" spans="1:35" ht="32">
      <c r="A8" s="13" t="s">
        <v>355</v>
      </c>
      <c r="B8" s="13" t="s">
        <v>149</v>
      </c>
      <c r="C8" s="13" t="s">
        <v>150</v>
      </c>
      <c r="D8" s="13" t="s">
        <v>351</v>
      </c>
      <c r="E8" s="13" t="s">
        <v>288</v>
      </c>
      <c r="F8" s="13" t="s">
        <v>289</v>
      </c>
      <c r="G8" s="13" t="s">
        <v>346</v>
      </c>
      <c r="H8" s="18">
        <v>22.86</v>
      </c>
      <c r="I8" s="13">
        <v>1096</v>
      </c>
      <c r="J8" s="11" t="str">
        <f t="shared" si="0"/>
        <v>Low timing alignment</v>
      </c>
      <c r="K8" s="14">
        <f>Gridlock_Utilities_Resource_and!AA61</f>
        <v>7614000</v>
      </c>
      <c r="L8" s="14">
        <f>'Utility B Resources'!AF5</f>
        <v>11757000</v>
      </c>
      <c r="M8" s="14">
        <f t="shared" si="1"/>
        <v>19371000</v>
      </c>
      <c r="N8" s="14">
        <f>Gridlock_Utilities_Resource_and!V61</f>
        <v>1158000</v>
      </c>
      <c r="O8" s="14">
        <f>'Utility B Resources'!AA5</f>
        <v>1955000</v>
      </c>
      <c r="P8" s="14">
        <f>Gridlock_Utilities_Resource_and!X61</f>
        <v>423000</v>
      </c>
      <c r="Q8" s="14">
        <f>'Utility B Resources'!AC5</f>
        <v>262000</v>
      </c>
      <c r="R8" s="14">
        <f>Gridlock_Utilities_Resource_and!Z61</f>
        <v>1427000</v>
      </c>
      <c r="S8" s="14">
        <f>'Utility B Resources'!AE5</f>
        <v>2245000</v>
      </c>
      <c r="T8" s="14">
        <f>Gridlock_Utilities_Resource_and!W61</f>
        <v>1462000</v>
      </c>
      <c r="U8" s="14">
        <f>'Utility B Resources'!AB5</f>
        <v>2780000</v>
      </c>
      <c r="V8" s="15">
        <f>MIN(Gridlock_Utilities_Resource_and!K61,'Utility B Resources'!P5)</f>
        <v>6</v>
      </c>
      <c r="W8" s="15">
        <f>MIN(Gridlock_Utilities_Resource_and!L61,'Utility B Resources'!Q5)</f>
        <v>3</v>
      </c>
      <c r="X8" s="15">
        <f>MIN(Gridlock_Utilities_Resource_and!M61,'Utility B Resources'!R5)</f>
        <v>1</v>
      </c>
      <c r="Y8" s="15">
        <f>MIN(Gridlock_Utilities_Resource_and!N61,'Utility B Resources'!S5)</f>
        <v>1</v>
      </c>
      <c r="Z8" s="16">
        <f t="shared" si="2"/>
        <v>0.6</v>
      </c>
      <c r="AA8" s="16">
        <f t="shared" si="3"/>
        <v>0.1</v>
      </c>
      <c r="AB8" s="14">
        <f t="shared" si="4"/>
        <v>13896</v>
      </c>
      <c r="AC8" s="14">
        <f t="shared" si="5"/>
        <v>5502</v>
      </c>
      <c r="AD8" s="14">
        <f t="shared" si="6"/>
        <v>10274.400000000001</v>
      </c>
      <c r="AE8" s="14">
        <f t="shared" si="7"/>
        <v>4386</v>
      </c>
      <c r="AF8" s="14">
        <f t="shared" si="8"/>
        <v>34058.400000000001</v>
      </c>
      <c r="AG8" s="14">
        <f t="shared" si="9"/>
        <v>19336941.600000001</v>
      </c>
      <c r="AH8" s="17">
        <f t="shared" si="10"/>
        <v>1.7582158897320739E-3</v>
      </c>
      <c r="AI8" s="11" t="str">
        <f t="shared" si="11"/>
        <v>Primarily use visibility to prevent future duplication</v>
      </c>
    </row>
    <row r="11" spans="1:35" ht="16">
      <c r="A11" s="19" t="s">
        <v>356</v>
      </c>
      <c r="B11" s="19" t="s">
        <v>357</v>
      </c>
    </row>
    <row r="12" spans="1:35" ht="16">
      <c r="A12" s="11" t="s">
        <v>358</v>
      </c>
      <c r="B12" s="11" t="s">
        <v>359</v>
      </c>
    </row>
    <row r="13" spans="1:35" ht="16">
      <c r="A13" s="11" t="s">
        <v>360</v>
      </c>
      <c r="B13" s="11" t="s">
        <v>361</v>
      </c>
    </row>
    <row r="14" spans="1:35" ht="16">
      <c r="A14" s="11" t="s">
        <v>362</v>
      </c>
      <c r="B14" s="11" t="s">
        <v>363</v>
      </c>
    </row>
    <row r="15" spans="1:35" ht="16">
      <c r="A15" s="11" t="s">
        <v>364</v>
      </c>
      <c r="B15" s="11" t="s">
        <v>365</v>
      </c>
    </row>
    <row r="16" spans="1:35" ht="16">
      <c r="A16" s="11" t="s">
        <v>366</v>
      </c>
      <c r="B16" s="11" t="s">
        <v>367</v>
      </c>
    </row>
    <row r="17" spans="1:2" ht="16">
      <c r="A17" s="11" t="s">
        <v>368</v>
      </c>
      <c r="B17" s="11" t="s">
        <v>369</v>
      </c>
    </row>
    <row r="18" spans="1:2" ht="32">
      <c r="A18" s="11" t="s">
        <v>307</v>
      </c>
      <c r="B18" s="11" t="s">
        <v>370</v>
      </c>
    </row>
  </sheetData>
  <conditionalFormatting sqref="AF2:AF8">
    <cfRule type="dataBar" priority="1">
      <dataBar>
        <cfvo type="min"/>
        <cfvo type="max"/>
        <color rgb="FF4F81BD"/>
      </dataBar>
    </cfRule>
    <cfRule type="dataBar" priority="3">
      <dataBar>
        <cfvo type="min"/>
        <cfvo type="max"/>
        <color rgb="FF4F81BD"/>
      </dataBar>
      <extLst>
        <ext xmlns:x14="http://schemas.microsoft.com/office/spreadsheetml/2009/9/main" uri="{B025F937-C7B1-47D3-B67F-A62EFF666E3E}">
          <x14:id>{05B5CF28-28A1-BAC2-7E5A-616942C9C416}</x14:id>
        </ext>
      </extLst>
    </cfRule>
  </conditionalFormatting>
  <conditionalFormatting sqref="AH2:AH8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B5CF28-28A1-BAC2-7E5A-616942C9C416}">
            <x14:dataBar>
              <x14:cfvo type="min"/>
              <x14:cfvo type="max"/>
              <x14:negativeFillColor auto="1"/>
              <x14:axisColor auto="1"/>
            </x14:dataBar>
          </x14:cfRule>
          <xm:sqref>AF2:AF8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Gridlock_Utilities_Resource_and</vt:lpstr>
      <vt:lpstr>Utility B Resources</vt:lpstr>
      <vt:lpstr>Notes</vt:lpstr>
      <vt:lpstr>Collaboration 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Fabienne Olibrice</cp:lastModifiedBy>
  <dcterms:created xsi:type="dcterms:W3CDTF">2026-09-27T03:43:01Z</dcterms:created>
  <dcterms:modified xsi:type="dcterms:W3CDTF">2026-09-27T03:43:07Z</dcterms:modified>
</cp:coreProperties>
</file>